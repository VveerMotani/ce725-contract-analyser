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enchmark 8.4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Python monthly" sheetId="5" state="visible" r:id="rId5"/>
  </sheets>
  <definedNames>
    <definedName name="ContractValue">Inputs!$C$2</definedName>
    <definedName name="Months">Inputs!$C$3</definedName>
    <definedName name="RetRate">Inputs!$C$4</definedName>
    <definedName name="RetCap">Inputs!$C$5</definedName>
    <definedName name="AdvFirst">Inputs!$C$6</definedName>
    <definedName name="AdvFirstMonth">Inputs!$C$7</definedName>
    <definedName name="AdvSecond">Inputs!$C$8</definedName>
    <definedName name="AdvSecondMonth">Inputs!$C$9</definedName>
    <definedName name="RecRate">Inputs!$C$10</definedName>
    <definedName name="RecDeadline">Inputs!$C$11</definedName>
    <definedName name="LDRate">Inputs!$C$12</definedName>
    <definedName name="LDCap">Inputs!$C$13</definedName>
    <definedName name="DelayDays">Inputs!$C$14</definedName>
    <definedName name="CostShare">Inputs!$C$15</definedName>
    <definedName name="PayLagDays">Inputs!$C$16</definedName>
    <definedName name="RelMonths">Inputs!$C$17</definedName>
    <definedName name="ODRate">Inputs!$C$18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1" fillId="4" borderId="0" applyAlignment="1" pivotButton="0" quotePrefix="0" xfId="0">
      <alignment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Spec §8.4 hand benchmark (CE725 Team 2, module M4 cash flow)</t>
        </is>
      </c>
    </row>
    <row r="2">
      <c r="A2" t="inlineStr"/>
    </row>
    <row r="3">
      <c r="A3" s="2" t="inlineStr">
        <is>
          <t>MANUAL CHECK REQUIRED. The course requires this hand benchmark to be checked by a person.</t>
        </is>
      </c>
    </row>
    <row r="4">
      <c r="A4" t="inlineStr">
        <is>
          <t>Open the 'Benchmark 8.4' sheet, redo each line by hand or calculator, and sign below.</t>
        </is>
      </c>
    </row>
    <row r="5">
      <c r="A5" t="inlineStr">
        <is>
          <t>Checked by: ____________________   Date: ____________   Result (all MATCH / differences): ______________</t>
        </is>
      </c>
    </row>
    <row r="6">
      <c r="A6" t="inlineStr"/>
    </row>
    <row r="7">
      <c r="A7" s="1" t="inlineStr">
        <is>
          <t>What this file is</t>
        </is>
      </c>
    </row>
    <row r="8">
      <c r="A8" t="inlineStr">
        <is>
          <t>Every number in 'Monthly' and in column D of 'Benchmark 8.4' is a live Excel formula that reads the</t>
        </is>
      </c>
    </row>
    <row r="9">
      <c r="A9" t="inlineStr">
        <is>
          <t>yellow cells in 'Inputs'. Nothing is pasted from Python. Change an input and Excel recalculates.</t>
        </is>
      </c>
    </row>
    <row r="10">
      <c r="A10" t="inlineStr">
        <is>
          <t>Column C of 'Benchmark 8.4' is the spec table typed by hand. Column E is the Python engine's value,</t>
        </is>
      </c>
    </row>
    <row r="11">
      <c r="A11" t="inlineStr">
        <is>
          <t>written when the file was generated (python -m analyser.cashflow.benchmark, from backend/).</t>
        </is>
      </c>
    </row>
    <row r="12">
      <c r="A12" t="inlineStr">
        <is>
          <t>Columns F and G say MATCH when Excel and Python agree with the spec to 4 decimals.</t>
        </is>
      </c>
    </row>
    <row r="13">
      <c r="A13" t="inlineStr"/>
    </row>
    <row r="14">
      <c r="A14" s="1" t="inlineStr">
        <is>
          <t>Conventions (same as the Python engine, see backend/analyser/cashflow/FORMULAS.md)</t>
        </is>
      </c>
    </row>
    <row r="15">
      <c r="A15" t="inlineStr">
        <is>
          <t>Units: Rs crore. Row = end of month. Month 0 = signing. Work of month m is billed at the end of month m.</t>
        </is>
      </c>
    </row>
    <row r="16">
      <c r="A16" t="inlineStr">
        <is>
          <t>Retention = r x bill until cumulative retention reaches Rmax x V.</t>
        </is>
      </c>
    </row>
    <row r="17">
      <c r="A17" t="inlineStr">
        <is>
          <t>Advance recovery = rho x bill until the advance received so far is repaid; any balance is recovered in</t>
        </is>
      </c>
    </row>
    <row r="18">
      <c r="A18" t="inlineStr">
        <is>
          <t>full in month floor(0.8 x T) = 19 and in the final bill (month T).</t>
        </is>
      </c>
    </row>
    <row r="19">
      <c r="A19" t="inlineStr">
        <is>
          <t>Net certified is paid after the payment lag (30 days = 1 month). Advances arrive in their months.</t>
        </is>
      </c>
    </row>
    <row r="20">
      <c r="A20" t="inlineStr">
        <is>
          <t>Delay D moves completion to month T + D/30; damages are deducted then; retention is released</t>
        </is>
      </c>
    </row>
    <row r="21">
      <c r="A21" t="inlineStr">
        <is>
          <t>'RelMonths' after completion. Cash out = cost share x gross work, paid the same month.</t>
        </is>
      </c>
    </row>
    <row r="22">
      <c r="A22" t="inlineStr">
        <is>
          <t>Values not given in spec §8.4 are [ASSUMPTION]s and are marked in 'Inputs'.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52" customWidth="1" min="4" max="4"/>
  </cols>
  <sheetData>
    <row r="1">
      <c r="A1" s="1" t="inlineStr">
        <is>
          <t>Name</t>
        </is>
      </c>
      <c r="B1" s="1" t="inlineStr">
        <is>
          <t>Input</t>
        </is>
      </c>
      <c r="C1" s="1" t="inlineStr">
        <is>
          <t>Value</t>
        </is>
      </c>
      <c r="D1" s="1" t="inlineStr">
        <is>
          <t>Unit / note</t>
        </is>
      </c>
    </row>
    <row r="2">
      <c r="A2" t="inlineStr">
        <is>
          <t>ContractValue</t>
        </is>
      </c>
      <c r="B2" t="inlineStr">
        <is>
          <t>Contract value V</t>
        </is>
      </c>
      <c r="C2" s="3" t="n">
        <v>100</v>
      </c>
      <c r="D2" t="inlineStr">
        <is>
          <t>Rs crore</t>
        </is>
      </c>
    </row>
    <row r="3">
      <c r="A3" t="inlineStr">
        <is>
          <t>Months</t>
        </is>
      </c>
      <c r="B3" t="inlineStr">
        <is>
          <t>Duration T</t>
        </is>
      </c>
      <c r="C3" s="3" t="n">
        <v>24</v>
      </c>
      <c r="D3" t="inlineStr">
        <is>
          <t>months (even progress, 1/T each month)</t>
        </is>
      </c>
    </row>
    <row r="4">
      <c r="A4" t="inlineStr">
        <is>
          <t>RetRate</t>
        </is>
      </c>
      <c r="B4" t="inlineStr">
        <is>
          <t>Retention rate r</t>
        </is>
      </c>
      <c r="C4" s="3" t="n">
        <v>0.06</v>
      </c>
      <c r="D4" t="inlineStr">
        <is>
          <t>share of each gross bill</t>
        </is>
      </c>
    </row>
    <row r="5">
      <c r="A5" t="inlineStr">
        <is>
          <t>RetCap</t>
        </is>
      </c>
      <c r="B5" t="inlineStr">
        <is>
          <t>Retention cap Rmax</t>
        </is>
      </c>
      <c r="C5" s="3" t="n">
        <v>0.05</v>
      </c>
      <c r="D5" t="inlineStr">
        <is>
          <t>share of V</t>
        </is>
      </c>
    </row>
    <row r="6">
      <c r="A6" t="inlineStr">
        <is>
          <t>AdvFirst</t>
        </is>
      </c>
      <c r="B6" t="inlineStr">
        <is>
          <t>Advance instalment 1</t>
        </is>
      </c>
      <c r="C6" s="3" t="n">
        <v>0.05</v>
      </c>
      <c r="D6" t="inlineStr">
        <is>
          <t>share of V</t>
        </is>
      </c>
    </row>
    <row r="7">
      <c r="A7" t="inlineStr">
        <is>
          <t>AdvFirstMonth</t>
        </is>
      </c>
      <c r="B7" t="inlineStr">
        <is>
          <t>Instalment 1 arrives in month</t>
        </is>
      </c>
      <c r="C7" s="3" t="n">
        <v>0</v>
      </c>
      <c r="D7" t="inlineStr">
        <is>
          <t>month [ASSUMPTION]</t>
        </is>
      </c>
    </row>
    <row r="8">
      <c r="A8" t="inlineStr">
        <is>
          <t>AdvSecond</t>
        </is>
      </c>
      <c r="B8" t="inlineStr">
        <is>
          <t>Advance instalment 2</t>
        </is>
      </c>
      <c r="C8" s="3" t="n">
        <v>0.05</v>
      </c>
      <c r="D8" t="inlineStr">
        <is>
          <t>share of V</t>
        </is>
      </c>
    </row>
    <row r="9">
      <c r="A9" t="inlineStr">
        <is>
          <t>AdvSecondMonth</t>
        </is>
      </c>
      <c r="B9" t="inlineStr">
        <is>
          <t>Instalment 2 arrives in month</t>
        </is>
      </c>
      <c r="C9" s="3" t="n">
        <v>2</v>
      </c>
      <c r="D9" t="inlineStr">
        <is>
          <t>month [ASSUMPTION]</t>
        </is>
      </c>
    </row>
    <row r="10">
      <c r="A10" t="inlineStr">
        <is>
          <t>RecRate</t>
        </is>
      </c>
      <c r="B10" t="inlineStr">
        <is>
          <t>Advance recovery rate rho</t>
        </is>
      </c>
      <c r="C10" s="3" t="n">
        <v>0.15</v>
      </c>
      <c r="D10" t="inlineStr">
        <is>
          <t>share of each gross bill</t>
        </is>
      </c>
    </row>
    <row r="11">
      <c r="A11" t="inlineStr">
        <is>
          <t>RecDeadline</t>
        </is>
      </c>
      <c r="B11" t="inlineStr">
        <is>
          <t>Recovery deadline</t>
        </is>
      </c>
      <c r="C11" s="3" t="n">
        <v>0.8</v>
      </c>
      <c r="D11" t="inlineStr">
        <is>
          <t>share of T</t>
        </is>
      </c>
    </row>
    <row r="12">
      <c r="A12" t="inlineStr">
        <is>
          <t>LDRate</t>
        </is>
      </c>
      <c r="B12" t="inlineStr">
        <is>
          <t>Delay damages rate l</t>
        </is>
      </c>
      <c r="C12" s="3" t="n">
        <v>0.0005</v>
      </c>
      <c r="D12" t="inlineStr">
        <is>
          <t>share of V per day</t>
        </is>
      </c>
    </row>
    <row r="13">
      <c r="A13" t="inlineStr">
        <is>
          <t>LDCap</t>
        </is>
      </c>
      <c r="B13" t="inlineStr">
        <is>
          <t>Delay damages cap Lmax</t>
        </is>
      </c>
      <c r="C13" s="3" t="n">
        <v>0.1</v>
      </c>
      <c r="D13" t="inlineStr">
        <is>
          <t>share of V</t>
        </is>
      </c>
    </row>
    <row r="14">
      <c r="A14" t="inlineStr">
        <is>
          <t>DelayDays</t>
        </is>
      </c>
      <c r="B14" t="inlineStr">
        <is>
          <t>Delay D</t>
        </is>
      </c>
      <c r="C14" s="3" t="n">
        <v>60</v>
      </c>
      <c r="D14" t="inlineStr">
        <is>
          <t>days</t>
        </is>
      </c>
    </row>
    <row r="15">
      <c r="A15" t="inlineStr">
        <is>
          <t>CostShare</t>
        </is>
      </c>
      <c r="B15" t="inlineStr">
        <is>
          <t>Cost share c</t>
        </is>
      </c>
      <c r="C15" s="3" t="n">
        <v>0.85</v>
      </c>
      <c r="D15" t="inlineStr">
        <is>
          <t>share of gross work [ASSUMPTION]</t>
        </is>
      </c>
    </row>
    <row r="16">
      <c r="A16" t="inlineStr">
        <is>
          <t>PayLagDays</t>
        </is>
      </c>
      <c r="B16" t="inlineStr">
        <is>
          <t>Payment lag</t>
        </is>
      </c>
      <c r="C16" s="3" t="n">
        <v>30</v>
      </c>
      <c r="D16" t="inlineStr">
        <is>
          <t>days; whole months only in this sheet (30, 60, ...)</t>
        </is>
      </c>
    </row>
    <row r="17">
      <c r="A17" t="inlineStr">
        <is>
          <t>RelMonths</t>
        </is>
      </c>
      <c r="B17" t="inlineStr">
        <is>
          <t>Retention released after completion</t>
        </is>
      </c>
      <c r="C17" s="3" t="n">
        <v>1</v>
      </c>
      <c r="D17" t="inlineStr">
        <is>
          <t>months; whole months only [ASSUMPTION]</t>
        </is>
      </c>
    </row>
    <row r="18">
      <c r="A18" t="inlineStr">
        <is>
          <t>ODRate</t>
        </is>
      </c>
      <c r="B18" t="inlineStr">
        <is>
          <t>Overdraft rate</t>
        </is>
      </c>
      <c r="C18" s="3" t="n">
        <v>0.1</v>
      </c>
      <c r="D18" t="inlineStr">
        <is>
          <t>per year [ASSUMPTION]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2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>
      <c r="A1" s="4" t="inlineStr">
        <is>
          <t>Item</t>
        </is>
      </c>
      <c r="B1" s="4" t="inlineStr">
        <is>
          <t>Hand calculation</t>
        </is>
      </c>
      <c r="C1" s="4" t="inlineStr">
        <is>
          <t>Spec §8.4 result (typed)</t>
        </is>
      </c>
      <c r="D1" s="4" t="inlineStr">
        <is>
          <t>Excel formula result</t>
        </is>
      </c>
      <c r="E1" s="4" t="inlineStr">
        <is>
          <t>Python engine</t>
        </is>
      </c>
      <c r="F1" s="4" t="inlineStr">
        <is>
          <t>Excel = spec?</t>
        </is>
      </c>
      <c r="G1" s="4" t="inlineStr">
        <is>
          <t>Python = spec?</t>
        </is>
      </c>
    </row>
    <row r="2">
      <c r="A2" t="inlineStr">
        <is>
          <t>Gross work each month (Rs crore)</t>
        </is>
      </c>
      <c r="B2" t="inlineStr">
        <is>
          <t>100 / 24</t>
        </is>
      </c>
      <c r="C2" s="5" t="n">
        <v>4.1667</v>
      </c>
      <c r="D2" s="5">
        <f>Monthly!B3</f>
        <v/>
      </c>
      <c r="E2" s="5" t="n">
        <v>4.1666666667</v>
      </c>
      <c r="F2">
        <f>IF(ABS(ROUND(D2,4)-C2)&lt;0.00005,"MATCH","CHECK")</f>
        <v/>
      </c>
      <c r="G2">
        <f>IF(ABS(ROUND(E2,4)-C2)&lt;0.00005,"MATCH","CHECK")</f>
        <v/>
      </c>
    </row>
    <row r="3">
      <c r="A3" t="inlineStr">
        <is>
          <t>Retention each month (Rs crore)</t>
        </is>
      </c>
      <c r="B3" t="inlineStr">
        <is>
          <t>6% of 4.1667</t>
        </is>
      </c>
      <c r="C3" s="5" t="n">
        <v>0.25</v>
      </c>
      <c r="D3" s="5">
        <f>Monthly!C3</f>
        <v/>
      </c>
      <c r="E3" s="5" t="n">
        <v>0.25</v>
      </c>
      <c r="F3">
        <f>IF(ABS(ROUND(D3,4)-C3)&lt;0.00005,"MATCH","CHECK")</f>
        <v/>
      </c>
      <c r="G3">
        <f>IF(ABS(ROUND(E3,4)-C3)&lt;0.00005,"MATCH","CHECK")</f>
        <v/>
      </c>
    </row>
    <row r="4">
      <c r="A4" t="inlineStr">
        <is>
          <t>Month in which retention reaches its 5% cap (Rs 5 crore)</t>
        </is>
      </c>
      <c r="B4" t="inlineStr">
        <is>
          <t>5 / 0.25</t>
        </is>
      </c>
      <c r="C4" s="5" t="n">
        <v>20</v>
      </c>
      <c r="D4" s="5">
        <f>MIN(Monthly!S2:S32)</f>
        <v/>
      </c>
      <c r="E4" s="5" t="n">
        <v>20</v>
      </c>
      <c r="F4">
        <f>IF(ABS(ROUND(D4,4)-C4)&lt;0.00005,"MATCH","CHECK")</f>
        <v/>
      </c>
      <c r="G4">
        <f>IF(ABS(ROUND(E4,4)-C4)&lt;0.00005,"MATCH","CHECK")</f>
        <v/>
      </c>
    </row>
    <row r="5">
      <c r="A5" t="inlineStr">
        <is>
          <t>Advance recovery each month (Rs crore)</t>
        </is>
      </c>
      <c r="B5" t="inlineStr">
        <is>
          <t>15% of 4.1667</t>
        </is>
      </c>
      <c r="C5" s="5" t="n">
        <v>0.625</v>
      </c>
      <c r="D5" s="5">
        <f>Monthly!G3</f>
        <v/>
      </c>
      <c r="E5" s="5" t="n">
        <v>0.625</v>
      </c>
      <c r="F5">
        <f>IF(ABS(ROUND(D5,4)-C5)&lt;0.00005,"MATCH","CHECK")</f>
        <v/>
      </c>
      <c r="G5">
        <f>IF(ABS(ROUND(E5,4)-C5)&lt;0.00005,"MATCH","CHECK")</f>
        <v/>
      </c>
    </row>
    <row r="6">
      <c r="A6" t="inlineStr">
        <is>
          <t>Month in which a Rs 10 crore advance is fully recovered</t>
        </is>
      </c>
      <c r="B6" t="inlineStr">
        <is>
          <t>10 / 0.625</t>
        </is>
      </c>
      <c r="C6" s="5" t="n">
        <v>16</v>
      </c>
      <c r="D6" s="5">
        <f>MIN(Monthly!T2:T32)</f>
        <v/>
      </c>
      <c r="E6" s="5" t="n">
        <v>16</v>
      </c>
      <c r="F6">
        <f>IF(ABS(ROUND(D6,4)-C6)&lt;0.00005,"MATCH","CHECK")</f>
        <v/>
      </c>
      <c r="G6">
        <f>IF(ABS(ROUND(E6,4)-C6)&lt;0.00005,"MATCH","CHECK")</f>
        <v/>
      </c>
    </row>
    <row r="7">
      <c r="A7" t="inlineStr">
        <is>
          <t>80% recovery limit (month)</t>
        </is>
      </c>
      <c r="B7" t="inlineStr">
        <is>
          <t>0.8 x 24</t>
        </is>
      </c>
      <c r="C7" s="5" t="n">
        <v>19.2</v>
      </c>
      <c r="D7" s="5">
        <f>RecDeadline*Months</f>
        <v/>
      </c>
      <c r="E7" s="5" t="n">
        <v>19.2</v>
      </c>
      <c r="F7">
        <f>IF(ABS(ROUND(D7,4)-C7)&lt;0.00005,"MATCH","CHECK")</f>
        <v/>
      </c>
      <c r="G7">
        <f>IF(ABS(ROUND(E7,4)-C7)&lt;0.00005,"MATCH","CHECK")</f>
        <v/>
      </c>
    </row>
    <row r="8">
      <c r="A8" t="inlineStr">
        <is>
          <t>Net certified in month 1 (Rs crore)</t>
        </is>
      </c>
      <c r="B8" t="inlineStr">
        <is>
          <t>4.1667 - 0.25 - 0.625</t>
        </is>
      </c>
      <c r="C8" s="5" t="n">
        <v>3.2917</v>
      </c>
      <c r="D8" s="5">
        <f>Monthly!J3</f>
        <v/>
      </c>
      <c r="E8" s="5" t="n">
        <v>3.2916666667</v>
      </c>
      <c r="F8">
        <f>IF(ABS(ROUND(D8,4)-C8)&lt;0.00005,"MATCH","CHECK")</f>
        <v/>
      </c>
      <c r="G8">
        <f>IF(ABS(ROUND(E8,4)-C8)&lt;0.00005,"MATCH","CHECK")</f>
        <v/>
      </c>
    </row>
    <row r="9">
      <c r="A9" t="inlineStr">
        <is>
          <t>Delay damages for 60 days (Rs crore)</t>
        </is>
      </c>
      <c r="B9" t="inlineStr">
        <is>
          <t>60 x 0.05% of 100</t>
        </is>
      </c>
      <c r="C9" s="5" t="n">
        <v>3</v>
      </c>
      <c r="D9" s="5">
        <f>MIN(LDRate*DelayDays,LDCap)*ContractValue</f>
        <v/>
      </c>
      <c r="E9" s="5" t="n">
        <v>3</v>
      </c>
      <c r="F9">
        <f>IF(ABS(ROUND(D9,4)-C9)&lt;0.00005,"MATCH","CHECK")</f>
        <v/>
      </c>
      <c r="G9">
        <f>IF(ABS(ROUND(E9,4)-C9)&lt;0.00005,"MATCH","CHECK")</f>
        <v/>
      </c>
    </row>
    <row r="10">
      <c r="A10" t="inlineStr">
        <is>
          <t>Days of delay to reach the cap</t>
        </is>
      </c>
      <c r="B10" t="inlineStr">
        <is>
          <t>10% / 0.05%</t>
        </is>
      </c>
      <c r="C10" s="5" t="n">
        <v>200</v>
      </c>
      <c r="D10" s="5">
        <f>LDCap/LDRate</f>
        <v/>
      </c>
      <c r="E10" s="5" t="n">
        <v>200</v>
      </c>
      <c r="F10">
        <f>IF(ABS(ROUND(D10,4)-C10)&lt;0.00005,"MATCH","CHECK")</f>
        <v/>
      </c>
      <c r="G10">
        <f>IF(ABS(ROUND(E10,4)-C10)&lt;0.00005,"MATCH","CHECK")</f>
        <v/>
      </c>
    </row>
    <row r="11">
      <c r="A11" t="inlineStr">
        <is>
          <t>Delay damages at the cap (Rs crore)</t>
        </is>
      </c>
      <c r="B11" t="inlineStr">
        <is>
          <t>10% of 100</t>
        </is>
      </c>
      <c r="C11" s="5" t="n">
        <v>10</v>
      </c>
      <c r="D11" s="5">
        <f>LDCap*ContractValue</f>
        <v/>
      </c>
      <c r="E11" s="5" t="n">
        <v>10</v>
      </c>
      <c r="F11">
        <f>IF(ABS(ROUND(D11,4)-C11)&lt;0.00005,"MATCH","CHECK")</f>
        <v/>
      </c>
      <c r="G11">
        <f>IF(ABS(ROUND(E11,4)-C11)&lt;0.00005,"MATCH","CHECK")</f>
        <v/>
      </c>
    </row>
    <row r="12">
      <c r="C12" s="5" t="n"/>
      <c r="D12" s="5" t="n"/>
      <c r="E12" s="5" t="n"/>
    </row>
    <row r="13">
      <c r="C13" s="5" t="n"/>
      <c r="D13" s="5" t="n"/>
      <c r="E13" s="5" t="n"/>
    </row>
    <row r="14">
      <c r="A14" s="1" t="inlineStr">
        <is>
          <t>Beyond the spec table (Excel vs Python only; no spec value)</t>
        </is>
      </c>
      <c r="C14" s="5" t="n"/>
      <c r="D14" s="5" t="n"/>
      <c r="E14" s="5" t="n"/>
    </row>
    <row r="15">
      <c r="A15" s="1" t="inlineStr">
        <is>
          <t>Item</t>
        </is>
      </c>
      <c r="C15" s="5" t="n"/>
      <c r="D15" s="6" t="inlineStr">
        <is>
          <t>Excel formula result</t>
        </is>
      </c>
      <c r="E15" s="6" t="inlineStr">
        <is>
          <t>Python engine</t>
        </is>
      </c>
      <c r="F15" s="1" t="inlineStr">
        <is>
          <t>Excel = Python?</t>
        </is>
      </c>
    </row>
    <row r="16">
      <c r="A16" t="inlineStr">
        <is>
          <t>Peak funding need = largest positive gap, 0 if none (Rs crore)</t>
        </is>
      </c>
      <c r="C16" s="5" t="n"/>
      <c r="D16" s="5">
        <f>MAX(0,MAX(Monthly!Q2:Q32))</f>
        <v/>
      </c>
      <c r="E16" s="5" t="n">
        <v>0</v>
      </c>
      <c r="F16">
        <f>IF(ABS(D16-E16)&lt;0.00005,"MATCH","CHECK")</f>
        <v/>
      </c>
    </row>
    <row r="17">
      <c r="A17" t="inlineStr">
        <is>
          <t>Month of peak funding (0 if never short of cash)</t>
        </is>
      </c>
      <c r="C17" s="5" t="n"/>
      <c r="D17" s="5">
        <f>IF(MAX(Monthly!Q2:Q32)&lt;=0,0,INDEX(Monthly!A2:A32,MATCH(MAX(Monthly!Q2:Q32),Monthly!Q2:Q32,0)))</f>
        <v/>
      </c>
      <c r="E17" s="5" t="n">
        <v>0</v>
      </c>
      <c r="F17">
        <f>IF(ABS(D17-E17)&lt;0.00005,"MATCH","CHECK")</f>
        <v/>
      </c>
    </row>
    <row r="18">
      <c r="A18" t="inlineStr">
        <is>
          <t>Overdraft interest = sum of positive gaps x rate / 12 (Rs crore)</t>
        </is>
      </c>
      <c r="C18" s="5" t="n"/>
      <c r="D18" s="5">
        <f>SUMIF(Monthly!Q2:Q32,"&gt;0")*ODRate/12</f>
        <v/>
      </c>
      <c r="E18" s="5" t="n">
        <v>0</v>
      </c>
      <c r="F18">
        <f>IF(ABS(D18-E18)&lt;0.00005,"MATCH","CHECK")</f>
        <v/>
      </c>
    </row>
    <row r="19">
      <c r="A19" t="inlineStr">
        <is>
          <t>Total cash in = V - delay damages (Rs crore)</t>
        </is>
      </c>
      <c r="C19" s="5" t="n"/>
      <c r="D19" s="5">
        <f>Monthly!O32</f>
        <v/>
      </c>
      <c r="E19" s="5" t="n">
        <v>97</v>
      </c>
      <c r="F19">
        <f>IF(ABS(D19-E19)&lt;0.00005,"MATCH","CHECK")</f>
        <v/>
      </c>
    </row>
    <row r="20">
      <c r="A20" t="inlineStr">
        <is>
          <t>Total cash out = c x V (Rs crore)</t>
        </is>
      </c>
      <c r="C20" s="5" t="n"/>
      <c r="D20" s="5">
        <f>Monthly!P32</f>
        <v/>
      </c>
      <c r="E20" s="5" t="n">
        <v>85</v>
      </c>
      <c r="F20">
        <f>IF(ABS(D20-E20)&lt;0.00005,"MATCH","CHECK")</f>
        <v/>
      </c>
    </row>
    <row r="21">
      <c r="A21" t="inlineStr">
        <is>
          <t>Largest monthly difference, Excel gap vs Python gap (Rs crore)</t>
        </is>
      </c>
      <c r="D21">
        <f>MAX(ABS(MAX('Python monthly'!E2:E32)),ABS(MIN('Python monthly'!E2:E32)))</f>
        <v/>
      </c>
      <c r="E21" t="n">
        <v>0</v>
      </c>
      <c r="F21">
        <f>IF(D21&lt;0.00005,"MATCH","CHECK")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7" t="inlineStr">
        <is>
          <t>Month</t>
        </is>
      </c>
      <c r="B1" s="7" t="inlineStr">
        <is>
          <t>Gross work B</t>
        </is>
      </c>
      <c r="C1" s="7" t="inlineStr">
        <is>
          <t>Retention Ret</t>
        </is>
      </c>
      <c r="D1" s="7" t="inlineStr">
        <is>
          <t>Cum retention</t>
        </is>
      </c>
      <c r="E1" s="7" t="inlineStr">
        <is>
          <t>Advance received</t>
        </is>
      </c>
      <c r="F1" s="7" t="inlineStr">
        <is>
          <t>Cum advance received</t>
        </is>
      </c>
      <c r="G1" s="7" t="inlineStr">
        <is>
          <t>Advance recovery Rec</t>
        </is>
      </c>
      <c r="H1" s="7" t="inlineStr">
        <is>
          <t>Cum recovered</t>
        </is>
      </c>
      <c r="I1" s="7" t="inlineStr">
        <is>
          <t>Advance outstanding</t>
        </is>
      </c>
      <c r="J1" s="7" t="inlineStr">
        <is>
          <t>Net certified</t>
        </is>
      </c>
      <c r="K1" s="7" t="inlineStr">
        <is>
          <t>Retention released</t>
        </is>
      </c>
      <c r="L1" s="7" t="inlineStr">
        <is>
          <t>Delay damages deducted</t>
        </is>
      </c>
      <c r="M1" s="7" t="inlineStr">
        <is>
          <t>Cash in</t>
        </is>
      </c>
      <c r="N1" s="7" t="inlineStr">
        <is>
          <t>Cash out</t>
        </is>
      </c>
      <c r="O1" s="7" t="inlineStr">
        <is>
          <t>Cum in</t>
        </is>
      </c>
      <c r="P1" s="7" t="inlineStr">
        <is>
          <t>Cum out</t>
        </is>
      </c>
      <c r="Q1" s="7" t="inlineStr">
        <is>
          <t>Gap (out - in)</t>
        </is>
      </c>
      <c r="R1" s="7" t="inlineStr">
        <is>
          <t>Retention held</t>
        </is>
      </c>
      <c r="S1" s="7" t="inlineStr">
        <is>
          <t>Cap reached? (month or 999)</t>
        </is>
      </c>
      <c r="T1" s="7" t="inlineStr">
        <is>
          <t>Advance repaid? (month or 999)</t>
        </is>
      </c>
    </row>
    <row r="2">
      <c r="A2" s="8" t="n">
        <v>0</v>
      </c>
      <c r="B2" s="5">
        <f>IF(AND(A2&gt;=1,A2&lt;=Months),ContractValue/Months,0)</f>
        <v/>
      </c>
      <c r="C2" s="5">
        <f>MAX(0,MIN(RetRate*B2,RetCap*ContractValue-0))</f>
        <v/>
      </c>
      <c r="D2" s="5">
        <f>0+C2</f>
        <v/>
      </c>
      <c r="E2" s="5">
        <f>IF(A2=AdvFirstMonth,AdvFirst*ContractValue,0)+IF(A2=AdvSecondMonth,AdvSecond*ContractValue,0)</f>
        <v/>
      </c>
      <c r="F2" s="5">
        <f>0+E2</f>
        <v/>
      </c>
      <c r="G2" s="5">
        <f>IF(A2=0,0,IF(OR(A2&gt;=Months,A2&gt;=MAX(1,FLOOR(RecDeadline*Months,1))),F2-0,MIN(RecRate*B2,F2-0)))</f>
        <v/>
      </c>
      <c r="H2" s="5">
        <f>0+G2</f>
        <v/>
      </c>
      <c r="I2" s="5">
        <f>F2-H2</f>
        <v/>
      </c>
      <c r="J2" s="5">
        <f>B2-C2-G2</f>
        <v/>
      </c>
      <c r="K2" s="5">
        <f>IF(A2=Months+DelayDays/30+RelMonths,MAX($D$2:$D$40),0)</f>
        <v/>
      </c>
      <c r="L2" s="5">
        <f>IF(A2=Months+DelayDays/30,'Benchmark 8.4'!$D$9,0)</f>
        <v/>
      </c>
      <c r="M2" s="5">
        <f>IF(A2-PayLagDays/30&gt;=0,OFFSET(J2,-PayLagDays/30,0),0)+E2+K2-L2</f>
        <v/>
      </c>
      <c r="N2" s="5">
        <f>CostShare*B2</f>
        <v/>
      </c>
      <c r="O2" s="5">
        <f>0+M2</f>
        <v/>
      </c>
      <c r="P2" s="5">
        <f>0+N2</f>
        <v/>
      </c>
      <c r="Q2" s="5">
        <f>P2-O2</f>
        <v/>
      </c>
      <c r="R2" s="5">
        <f>D2-SUM($K$2:K2)</f>
        <v/>
      </c>
      <c r="S2" s="5">
        <f>IF(D2&gt;=RetCap*ContractValue-0.000001,A2,999)</f>
        <v/>
      </c>
      <c r="T2" s="5">
        <f>IF(AND(A2&gt;=1,H2&gt;=(AdvFirst+AdvSecond)*ContractValue-0.000001),A2,999)</f>
        <v/>
      </c>
    </row>
    <row r="3">
      <c r="A3" s="8" t="n">
        <v>1</v>
      </c>
      <c r="B3" s="5">
        <f>IF(AND(A3&gt;=1,A3&lt;=Months),ContractValue/Months,0)</f>
        <v/>
      </c>
      <c r="C3" s="5">
        <f>MAX(0,MIN(RetRate*B3,RetCap*ContractValue-D2))</f>
        <v/>
      </c>
      <c r="D3" s="5">
        <f>D2+C3</f>
        <v/>
      </c>
      <c r="E3" s="5">
        <f>IF(A3=AdvFirstMonth,AdvFirst*ContractValue,0)+IF(A3=AdvSecondMonth,AdvSecond*ContractValue,0)</f>
        <v/>
      </c>
      <c r="F3" s="5">
        <f>F2+E3</f>
        <v/>
      </c>
      <c r="G3" s="5">
        <f>IF(A3=0,0,IF(OR(A3&gt;=Months,A3&gt;=MAX(1,FLOOR(RecDeadline*Months,1))),F3-H2,MIN(RecRate*B3,F3-H2)))</f>
        <v/>
      </c>
      <c r="H3" s="5">
        <f>H2+G3</f>
        <v/>
      </c>
      <c r="I3" s="5">
        <f>F3-H3</f>
        <v/>
      </c>
      <c r="J3" s="5">
        <f>B3-C3-G3</f>
        <v/>
      </c>
      <c r="K3" s="5">
        <f>IF(A3=Months+DelayDays/30+RelMonths,MAX($D$2:$D$40),0)</f>
        <v/>
      </c>
      <c r="L3" s="5">
        <f>IF(A3=Months+DelayDays/30,'Benchmark 8.4'!$D$9,0)</f>
        <v/>
      </c>
      <c r="M3" s="5">
        <f>IF(A3-PayLagDays/30&gt;=0,OFFSET(J3,-PayLagDays/30,0),0)+E3+K3-L3</f>
        <v/>
      </c>
      <c r="N3" s="5">
        <f>CostShare*B3</f>
        <v/>
      </c>
      <c r="O3" s="5">
        <f>O2+M3</f>
        <v/>
      </c>
      <c r="P3" s="5">
        <f>P2+N3</f>
        <v/>
      </c>
      <c r="Q3" s="5">
        <f>P3-O3</f>
        <v/>
      </c>
      <c r="R3" s="5">
        <f>D3-SUM($K$2:K3)</f>
        <v/>
      </c>
      <c r="S3" s="5">
        <f>IF(D3&gt;=RetCap*ContractValue-0.000001,A3,999)</f>
        <v/>
      </c>
      <c r="T3" s="5">
        <f>IF(AND(A3&gt;=1,H3&gt;=(AdvFirst+AdvSecond)*ContractValue-0.000001),A3,999)</f>
        <v/>
      </c>
    </row>
    <row r="4">
      <c r="A4" s="8" t="n">
        <v>2</v>
      </c>
      <c r="B4" s="5">
        <f>IF(AND(A4&gt;=1,A4&lt;=Months),ContractValue/Months,0)</f>
        <v/>
      </c>
      <c r="C4" s="5">
        <f>MAX(0,MIN(RetRate*B4,RetCap*ContractValue-D3))</f>
        <v/>
      </c>
      <c r="D4" s="5">
        <f>D3+C4</f>
        <v/>
      </c>
      <c r="E4" s="5">
        <f>IF(A4=AdvFirstMonth,AdvFirst*ContractValue,0)+IF(A4=AdvSecondMonth,AdvSecond*ContractValue,0)</f>
        <v/>
      </c>
      <c r="F4" s="5">
        <f>F3+E4</f>
        <v/>
      </c>
      <c r="G4" s="5">
        <f>IF(A4=0,0,IF(OR(A4&gt;=Months,A4&gt;=MAX(1,FLOOR(RecDeadline*Months,1))),F4-H3,MIN(RecRate*B4,F4-H3)))</f>
        <v/>
      </c>
      <c r="H4" s="5">
        <f>H3+G4</f>
        <v/>
      </c>
      <c r="I4" s="5">
        <f>F4-H4</f>
        <v/>
      </c>
      <c r="J4" s="5">
        <f>B4-C4-G4</f>
        <v/>
      </c>
      <c r="K4" s="5">
        <f>IF(A4=Months+DelayDays/30+RelMonths,MAX($D$2:$D$40),0)</f>
        <v/>
      </c>
      <c r="L4" s="5">
        <f>IF(A4=Months+DelayDays/30,'Benchmark 8.4'!$D$9,0)</f>
        <v/>
      </c>
      <c r="M4" s="5">
        <f>IF(A4-PayLagDays/30&gt;=0,OFFSET(J4,-PayLagDays/30,0),0)+E4+K4-L4</f>
        <v/>
      </c>
      <c r="N4" s="5">
        <f>CostShare*B4</f>
        <v/>
      </c>
      <c r="O4" s="5">
        <f>O3+M4</f>
        <v/>
      </c>
      <c r="P4" s="5">
        <f>P3+N4</f>
        <v/>
      </c>
      <c r="Q4" s="5">
        <f>P4-O4</f>
        <v/>
      </c>
      <c r="R4" s="5">
        <f>D4-SUM($K$2:K4)</f>
        <v/>
      </c>
      <c r="S4" s="5">
        <f>IF(D4&gt;=RetCap*ContractValue-0.000001,A4,999)</f>
        <v/>
      </c>
      <c r="T4" s="5">
        <f>IF(AND(A4&gt;=1,H4&gt;=(AdvFirst+AdvSecond)*ContractValue-0.000001),A4,999)</f>
        <v/>
      </c>
    </row>
    <row r="5">
      <c r="A5" s="8" t="n">
        <v>3</v>
      </c>
      <c r="B5" s="5">
        <f>IF(AND(A5&gt;=1,A5&lt;=Months),ContractValue/Months,0)</f>
        <v/>
      </c>
      <c r="C5" s="5">
        <f>MAX(0,MIN(RetRate*B5,RetCap*ContractValue-D4))</f>
        <v/>
      </c>
      <c r="D5" s="5">
        <f>D4+C5</f>
        <v/>
      </c>
      <c r="E5" s="5">
        <f>IF(A5=AdvFirstMonth,AdvFirst*ContractValue,0)+IF(A5=AdvSecondMonth,AdvSecond*ContractValue,0)</f>
        <v/>
      </c>
      <c r="F5" s="5">
        <f>F4+E5</f>
        <v/>
      </c>
      <c r="G5" s="5">
        <f>IF(A5=0,0,IF(OR(A5&gt;=Months,A5&gt;=MAX(1,FLOOR(RecDeadline*Months,1))),F5-H4,MIN(RecRate*B5,F5-H4)))</f>
        <v/>
      </c>
      <c r="H5" s="5">
        <f>H4+G5</f>
        <v/>
      </c>
      <c r="I5" s="5">
        <f>F5-H5</f>
        <v/>
      </c>
      <c r="J5" s="5">
        <f>B5-C5-G5</f>
        <v/>
      </c>
      <c r="K5" s="5">
        <f>IF(A5=Months+DelayDays/30+RelMonths,MAX($D$2:$D$40),0)</f>
        <v/>
      </c>
      <c r="L5" s="5">
        <f>IF(A5=Months+DelayDays/30,'Benchmark 8.4'!$D$9,0)</f>
        <v/>
      </c>
      <c r="M5" s="5">
        <f>IF(A5-PayLagDays/30&gt;=0,OFFSET(J5,-PayLagDays/30,0),0)+E5+K5-L5</f>
        <v/>
      </c>
      <c r="N5" s="5">
        <f>CostShare*B5</f>
        <v/>
      </c>
      <c r="O5" s="5">
        <f>O4+M5</f>
        <v/>
      </c>
      <c r="P5" s="5">
        <f>P4+N5</f>
        <v/>
      </c>
      <c r="Q5" s="5">
        <f>P5-O5</f>
        <v/>
      </c>
      <c r="R5" s="5">
        <f>D5-SUM($K$2:K5)</f>
        <v/>
      </c>
      <c r="S5" s="5">
        <f>IF(D5&gt;=RetCap*ContractValue-0.000001,A5,999)</f>
        <v/>
      </c>
      <c r="T5" s="5">
        <f>IF(AND(A5&gt;=1,H5&gt;=(AdvFirst+AdvSecond)*ContractValue-0.000001),A5,999)</f>
        <v/>
      </c>
    </row>
    <row r="6">
      <c r="A6" s="8" t="n">
        <v>4</v>
      </c>
      <c r="B6" s="5">
        <f>IF(AND(A6&gt;=1,A6&lt;=Months),ContractValue/Months,0)</f>
        <v/>
      </c>
      <c r="C6" s="5">
        <f>MAX(0,MIN(RetRate*B6,RetCap*ContractValue-D5))</f>
        <v/>
      </c>
      <c r="D6" s="5">
        <f>D5+C6</f>
        <v/>
      </c>
      <c r="E6" s="5">
        <f>IF(A6=AdvFirstMonth,AdvFirst*ContractValue,0)+IF(A6=AdvSecondMonth,AdvSecond*ContractValue,0)</f>
        <v/>
      </c>
      <c r="F6" s="5">
        <f>F5+E6</f>
        <v/>
      </c>
      <c r="G6" s="5">
        <f>IF(A6=0,0,IF(OR(A6&gt;=Months,A6&gt;=MAX(1,FLOOR(RecDeadline*Months,1))),F6-H5,MIN(RecRate*B6,F6-H5)))</f>
        <v/>
      </c>
      <c r="H6" s="5">
        <f>H5+G6</f>
        <v/>
      </c>
      <c r="I6" s="5">
        <f>F6-H6</f>
        <v/>
      </c>
      <c r="J6" s="5">
        <f>B6-C6-G6</f>
        <v/>
      </c>
      <c r="K6" s="5">
        <f>IF(A6=Months+DelayDays/30+RelMonths,MAX($D$2:$D$40),0)</f>
        <v/>
      </c>
      <c r="L6" s="5">
        <f>IF(A6=Months+DelayDays/30,'Benchmark 8.4'!$D$9,0)</f>
        <v/>
      </c>
      <c r="M6" s="5">
        <f>IF(A6-PayLagDays/30&gt;=0,OFFSET(J6,-PayLagDays/30,0),0)+E6+K6-L6</f>
        <v/>
      </c>
      <c r="N6" s="5">
        <f>CostShare*B6</f>
        <v/>
      </c>
      <c r="O6" s="5">
        <f>O5+M6</f>
        <v/>
      </c>
      <c r="P6" s="5">
        <f>P5+N6</f>
        <v/>
      </c>
      <c r="Q6" s="5">
        <f>P6-O6</f>
        <v/>
      </c>
      <c r="R6" s="5">
        <f>D6-SUM($K$2:K6)</f>
        <v/>
      </c>
      <c r="S6" s="5">
        <f>IF(D6&gt;=RetCap*ContractValue-0.000001,A6,999)</f>
        <v/>
      </c>
      <c r="T6" s="5">
        <f>IF(AND(A6&gt;=1,H6&gt;=(AdvFirst+AdvSecond)*ContractValue-0.000001),A6,999)</f>
        <v/>
      </c>
    </row>
    <row r="7">
      <c r="A7" s="8" t="n">
        <v>5</v>
      </c>
      <c r="B7" s="5">
        <f>IF(AND(A7&gt;=1,A7&lt;=Months),ContractValue/Months,0)</f>
        <v/>
      </c>
      <c r="C7" s="5">
        <f>MAX(0,MIN(RetRate*B7,RetCap*ContractValue-D6))</f>
        <v/>
      </c>
      <c r="D7" s="5">
        <f>D6+C7</f>
        <v/>
      </c>
      <c r="E7" s="5">
        <f>IF(A7=AdvFirstMonth,AdvFirst*ContractValue,0)+IF(A7=AdvSecondMonth,AdvSecond*ContractValue,0)</f>
        <v/>
      </c>
      <c r="F7" s="5">
        <f>F6+E7</f>
        <v/>
      </c>
      <c r="G7" s="5">
        <f>IF(A7=0,0,IF(OR(A7&gt;=Months,A7&gt;=MAX(1,FLOOR(RecDeadline*Months,1))),F7-H6,MIN(RecRate*B7,F7-H6)))</f>
        <v/>
      </c>
      <c r="H7" s="5">
        <f>H6+G7</f>
        <v/>
      </c>
      <c r="I7" s="5">
        <f>F7-H7</f>
        <v/>
      </c>
      <c r="J7" s="5">
        <f>B7-C7-G7</f>
        <v/>
      </c>
      <c r="K7" s="5">
        <f>IF(A7=Months+DelayDays/30+RelMonths,MAX($D$2:$D$40),0)</f>
        <v/>
      </c>
      <c r="L7" s="5">
        <f>IF(A7=Months+DelayDays/30,'Benchmark 8.4'!$D$9,0)</f>
        <v/>
      </c>
      <c r="M7" s="5">
        <f>IF(A7-PayLagDays/30&gt;=0,OFFSET(J7,-PayLagDays/30,0),0)+E7+K7-L7</f>
        <v/>
      </c>
      <c r="N7" s="5">
        <f>CostShare*B7</f>
        <v/>
      </c>
      <c r="O7" s="5">
        <f>O6+M7</f>
        <v/>
      </c>
      <c r="P7" s="5">
        <f>P6+N7</f>
        <v/>
      </c>
      <c r="Q7" s="5">
        <f>P7-O7</f>
        <v/>
      </c>
      <c r="R7" s="5">
        <f>D7-SUM($K$2:K7)</f>
        <v/>
      </c>
      <c r="S7" s="5">
        <f>IF(D7&gt;=RetCap*ContractValue-0.000001,A7,999)</f>
        <v/>
      </c>
      <c r="T7" s="5">
        <f>IF(AND(A7&gt;=1,H7&gt;=(AdvFirst+AdvSecond)*ContractValue-0.000001),A7,999)</f>
        <v/>
      </c>
    </row>
    <row r="8">
      <c r="A8" s="8" t="n">
        <v>6</v>
      </c>
      <c r="B8" s="5">
        <f>IF(AND(A8&gt;=1,A8&lt;=Months),ContractValue/Months,0)</f>
        <v/>
      </c>
      <c r="C8" s="5">
        <f>MAX(0,MIN(RetRate*B8,RetCap*ContractValue-D7))</f>
        <v/>
      </c>
      <c r="D8" s="5">
        <f>D7+C8</f>
        <v/>
      </c>
      <c r="E8" s="5">
        <f>IF(A8=AdvFirstMonth,AdvFirst*ContractValue,0)+IF(A8=AdvSecondMonth,AdvSecond*ContractValue,0)</f>
        <v/>
      </c>
      <c r="F8" s="5">
        <f>F7+E8</f>
        <v/>
      </c>
      <c r="G8" s="5">
        <f>IF(A8=0,0,IF(OR(A8&gt;=Months,A8&gt;=MAX(1,FLOOR(RecDeadline*Months,1))),F8-H7,MIN(RecRate*B8,F8-H7)))</f>
        <v/>
      </c>
      <c r="H8" s="5">
        <f>H7+G8</f>
        <v/>
      </c>
      <c r="I8" s="5">
        <f>F8-H8</f>
        <v/>
      </c>
      <c r="J8" s="5">
        <f>B8-C8-G8</f>
        <v/>
      </c>
      <c r="K8" s="5">
        <f>IF(A8=Months+DelayDays/30+RelMonths,MAX($D$2:$D$40),0)</f>
        <v/>
      </c>
      <c r="L8" s="5">
        <f>IF(A8=Months+DelayDays/30,'Benchmark 8.4'!$D$9,0)</f>
        <v/>
      </c>
      <c r="M8" s="5">
        <f>IF(A8-PayLagDays/30&gt;=0,OFFSET(J8,-PayLagDays/30,0),0)+E8+K8-L8</f>
        <v/>
      </c>
      <c r="N8" s="5">
        <f>CostShare*B8</f>
        <v/>
      </c>
      <c r="O8" s="5">
        <f>O7+M8</f>
        <v/>
      </c>
      <c r="P8" s="5">
        <f>P7+N8</f>
        <v/>
      </c>
      <c r="Q8" s="5">
        <f>P8-O8</f>
        <v/>
      </c>
      <c r="R8" s="5">
        <f>D8-SUM($K$2:K8)</f>
        <v/>
      </c>
      <c r="S8" s="5">
        <f>IF(D8&gt;=RetCap*ContractValue-0.000001,A8,999)</f>
        <v/>
      </c>
      <c r="T8" s="5">
        <f>IF(AND(A8&gt;=1,H8&gt;=(AdvFirst+AdvSecond)*ContractValue-0.000001),A8,999)</f>
        <v/>
      </c>
    </row>
    <row r="9">
      <c r="A9" s="8" t="n">
        <v>7</v>
      </c>
      <c r="B9" s="5">
        <f>IF(AND(A9&gt;=1,A9&lt;=Months),ContractValue/Months,0)</f>
        <v/>
      </c>
      <c r="C9" s="5">
        <f>MAX(0,MIN(RetRate*B9,RetCap*ContractValue-D8))</f>
        <v/>
      </c>
      <c r="D9" s="5">
        <f>D8+C9</f>
        <v/>
      </c>
      <c r="E9" s="5">
        <f>IF(A9=AdvFirstMonth,AdvFirst*ContractValue,0)+IF(A9=AdvSecondMonth,AdvSecond*ContractValue,0)</f>
        <v/>
      </c>
      <c r="F9" s="5">
        <f>F8+E9</f>
        <v/>
      </c>
      <c r="G9" s="5">
        <f>IF(A9=0,0,IF(OR(A9&gt;=Months,A9&gt;=MAX(1,FLOOR(RecDeadline*Months,1))),F9-H8,MIN(RecRate*B9,F9-H8)))</f>
        <v/>
      </c>
      <c r="H9" s="5">
        <f>H8+G9</f>
        <v/>
      </c>
      <c r="I9" s="5">
        <f>F9-H9</f>
        <v/>
      </c>
      <c r="J9" s="5">
        <f>B9-C9-G9</f>
        <v/>
      </c>
      <c r="K9" s="5">
        <f>IF(A9=Months+DelayDays/30+RelMonths,MAX($D$2:$D$40),0)</f>
        <v/>
      </c>
      <c r="L9" s="5">
        <f>IF(A9=Months+DelayDays/30,'Benchmark 8.4'!$D$9,0)</f>
        <v/>
      </c>
      <c r="M9" s="5">
        <f>IF(A9-PayLagDays/30&gt;=0,OFFSET(J9,-PayLagDays/30,0),0)+E9+K9-L9</f>
        <v/>
      </c>
      <c r="N9" s="5">
        <f>CostShare*B9</f>
        <v/>
      </c>
      <c r="O9" s="5">
        <f>O8+M9</f>
        <v/>
      </c>
      <c r="P9" s="5">
        <f>P8+N9</f>
        <v/>
      </c>
      <c r="Q9" s="5">
        <f>P9-O9</f>
        <v/>
      </c>
      <c r="R9" s="5">
        <f>D9-SUM($K$2:K9)</f>
        <v/>
      </c>
      <c r="S9" s="5">
        <f>IF(D9&gt;=RetCap*ContractValue-0.000001,A9,999)</f>
        <v/>
      </c>
      <c r="T9" s="5">
        <f>IF(AND(A9&gt;=1,H9&gt;=(AdvFirst+AdvSecond)*ContractValue-0.000001),A9,999)</f>
        <v/>
      </c>
    </row>
    <row r="10">
      <c r="A10" s="8" t="n">
        <v>8</v>
      </c>
      <c r="B10" s="5">
        <f>IF(AND(A10&gt;=1,A10&lt;=Months),ContractValue/Months,0)</f>
        <v/>
      </c>
      <c r="C10" s="5">
        <f>MAX(0,MIN(RetRate*B10,RetCap*ContractValue-D9))</f>
        <v/>
      </c>
      <c r="D10" s="5">
        <f>D9+C10</f>
        <v/>
      </c>
      <c r="E10" s="5">
        <f>IF(A10=AdvFirstMonth,AdvFirst*ContractValue,0)+IF(A10=AdvSecondMonth,AdvSecond*ContractValue,0)</f>
        <v/>
      </c>
      <c r="F10" s="5">
        <f>F9+E10</f>
        <v/>
      </c>
      <c r="G10" s="5">
        <f>IF(A10=0,0,IF(OR(A10&gt;=Months,A10&gt;=MAX(1,FLOOR(RecDeadline*Months,1))),F10-H9,MIN(RecRate*B10,F10-H9)))</f>
        <v/>
      </c>
      <c r="H10" s="5">
        <f>H9+G10</f>
        <v/>
      </c>
      <c r="I10" s="5">
        <f>F10-H10</f>
        <v/>
      </c>
      <c r="J10" s="5">
        <f>B10-C10-G10</f>
        <v/>
      </c>
      <c r="K10" s="5">
        <f>IF(A10=Months+DelayDays/30+RelMonths,MAX($D$2:$D$40),0)</f>
        <v/>
      </c>
      <c r="L10" s="5">
        <f>IF(A10=Months+DelayDays/30,'Benchmark 8.4'!$D$9,0)</f>
        <v/>
      </c>
      <c r="M10" s="5">
        <f>IF(A10-PayLagDays/30&gt;=0,OFFSET(J10,-PayLagDays/30,0),0)+E10+K10-L10</f>
        <v/>
      </c>
      <c r="N10" s="5">
        <f>CostShare*B10</f>
        <v/>
      </c>
      <c r="O10" s="5">
        <f>O9+M10</f>
        <v/>
      </c>
      <c r="P10" s="5">
        <f>P9+N10</f>
        <v/>
      </c>
      <c r="Q10" s="5">
        <f>P10-O10</f>
        <v/>
      </c>
      <c r="R10" s="5">
        <f>D10-SUM($K$2:K10)</f>
        <v/>
      </c>
      <c r="S10" s="5">
        <f>IF(D10&gt;=RetCap*ContractValue-0.000001,A10,999)</f>
        <v/>
      </c>
      <c r="T10" s="5">
        <f>IF(AND(A10&gt;=1,H10&gt;=(AdvFirst+AdvSecond)*ContractValue-0.000001),A10,999)</f>
        <v/>
      </c>
    </row>
    <row r="11">
      <c r="A11" s="8" t="n">
        <v>9</v>
      </c>
      <c r="B11" s="5">
        <f>IF(AND(A11&gt;=1,A11&lt;=Months),ContractValue/Months,0)</f>
        <v/>
      </c>
      <c r="C11" s="5">
        <f>MAX(0,MIN(RetRate*B11,RetCap*ContractValue-D10))</f>
        <v/>
      </c>
      <c r="D11" s="5">
        <f>D10+C11</f>
        <v/>
      </c>
      <c r="E11" s="5">
        <f>IF(A11=AdvFirstMonth,AdvFirst*ContractValue,0)+IF(A11=AdvSecondMonth,AdvSecond*ContractValue,0)</f>
        <v/>
      </c>
      <c r="F11" s="5">
        <f>F10+E11</f>
        <v/>
      </c>
      <c r="G11" s="5">
        <f>IF(A11=0,0,IF(OR(A11&gt;=Months,A11&gt;=MAX(1,FLOOR(RecDeadline*Months,1))),F11-H10,MIN(RecRate*B11,F11-H10)))</f>
        <v/>
      </c>
      <c r="H11" s="5">
        <f>H10+G11</f>
        <v/>
      </c>
      <c r="I11" s="5">
        <f>F11-H11</f>
        <v/>
      </c>
      <c r="J11" s="5">
        <f>B11-C11-G11</f>
        <v/>
      </c>
      <c r="K11" s="5">
        <f>IF(A11=Months+DelayDays/30+RelMonths,MAX($D$2:$D$40),0)</f>
        <v/>
      </c>
      <c r="L11" s="5">
        <f>IF(A11=Months+DelayDays/30,'Benchmark 8.4'!$D$9,0)</f>
        <v/>
      </c>
      <c r="M11" s="5">
        <f>IF(A11-PayLagDays/30&gt;=0,OFFSET(J11,-PayLagDays/30,0),0)+E11+K11-L11</f>
        <v/>
      </c>
      <c r="N11" s="5">
        <f>CostShare*B11</f>
        <v/>
      </c>
      <c r="O11" s="5">
        <f>O10+M11</f>
        <v/>
      </c>
      <c r="P11" s="5">
        <f>P10+N11</f>
        <v/>
      </c>
      <c r="Q11" s="5">
        <f>P11-O11</f>
        <v/>
      </c>
      <c r="R11" s="5">
        <f>D11-SUM($K$2:K11)</f>
        <v/>
      </c>
      <c r="S11" s="5">
        <f>IF(D11&gt;=RetCap*ContractValue-0.000001,A11,999)</f>
        <v/>
      </c>
      <c r="T11" s="5">
        <f>IF(AND(A11&gt;=1,H11&gt;=(AdvFirst+AdvSecond)*ContractValue-0.000001),A11,999)</f>
        <v/>
      </c>
    </row>
    <row r="12">
      <c r="A12" s="8" t="n">
        <v>10</v>
      </c>
      <c r="B12" s="5">
        <f>IF(AND(A12&gt;=1,A12&lt;=Months),ContractValue/Months,0)</f>
        <v/>
      </c>
      <c r="C12" s="5">
        <f>MAX(0,MIN(RetRate*B12,RetCap*ContractValue-D11))</f>
        <v/>
      </c>
      <c r="D12" s="5">
        <f>D11+C12</f>
        <v/>
      </c>
      <c r="E12" s="5">
        <f>IF(A12=AdvFirstMonth,AdvFirst*ContractValue,0)+IF(A12=AdvSecondMonth,AdvSecond*ContractValue,0)</f>
        <v/>
      </c>
      <c r="F12" s="5">
        <f>F11+E12</f>
        <v/>
      </c>
      <c r="G12" s="5">
        <f>IF(A12=0,0,IF(OR(A12&gt;=Months,A12&gt;=MAX(1,FLOOR(RecDeadline*Months,1))),F12-H11,MIN(RecRate*B12,F12-H11)))</f>
        <v/>
      </c>
      <c r="H12" s="5">
        <f>H11+G12</f>
        <v/>
      </c>
      <c r="I12" s="5">
        <f>F12-H12</f>
        <v/>
      </c>
      <c r="J12" s="5">
        <f>B12-C12-G12</f>
        <v/>
      </c>
      <c r="K12" s="5">
        <f>IF(A12=Months+DelayDays/30+RelMonths,MAX($D$2:$D$40),0)</f>
        <v/>
      </c>
      <c r="L12" s="5">
        <f>IF(A12=Months+DelayDays/30,'Benchmark 8.4'!$D$9,0)</f>
        <v/>
      </c>
      <c r="M12" s="5">
        <f>IF(A12-PayLagDays/30&gt;=0,OFFSET(J12,-PayLagDays/30,0),0)+E12+K12-L12</f>
        <v/>
      </c>
      <c r="N12" s="5">
        <f>CostShare*B12</f>
        <v/>
      </c>
      <c r="O12" s="5">
        <f>O11+M12</f>
        <v/>
      </c>
      <c r="P12" s="5">
        <f>P11+N12</f>
        <v/>
      </c>
      <c r="Q12" s="5">
        <f>P12-O12</f>
        <v/>
      </c>
      <c r="R12" s="5">
        <f>D12-SUM($K$2:K12)</f>
        <v/>
      </c>
      <c r="S12" s="5">
        <f>IF(D12&gt;=RetCap*ContractValue-0.000001,A12,999)</f>
        <v/>
      </c>
      <c r="T12" s="5">
        <f>IF(AND(A12&gt;=1,H12&gt;=(AdvFirst+AdvSecond)*ContractValue-0.000001),A12,999)</f>
        <v/>
      </c>
    </row>
    <row r="13">
      <c r="A13" s="8" t="n">
        <v>11</v>
      </c>
      <c r="B13" s="5">
        <f>IF(AND(A13&gt;=1,A13&lt;=Months),ContractValue/Months,0)</f>
        <v/>
      </c>
      <c r="C13" s="5">
        <f>MAX(0,MIN(RetRate*B13,RetCap*ContractValue-D12))</f>
        <v/>
      </c>
      <c r="D13" s="5">
        <f>D12+C13</f>
        <v/>
      </c>
      <c r="E13" s="5">
        <f>IF(A13=AdvFirstMonth,AdvFirst*ContractValue,0)+IF(A13=AdvSecondMonth,AdvSecond*ContractValue,0)</f>
        <v/>
      </c>
      <c r="F13" s="5">
        <f>F12+E13</f>
        <v/>
      </c>
      <c r="G13" s="5">
        <f>IF(A13=0,0,IF(OR(A13&gt;=Months,A13&gt;=MAX(1,FLOOR(RecDeadline*Months,1))),F13-H12,MIN(RecRate*B13,F13-H12)))</f>
        <v/>
      </c>
      <c r="H13" s="5">
        <f>H12+G13</f>
        <v/>
      </c>
      <c r="I13" s="5">
        <f>F13-H13</f>
        <v/>
      </c>
      <c r="J13" s="5">
        <f>B13-C13-G13</f>
        <v/>
      </c>
      <c r="K13" s="5">
        <f>IF(A13=Months+DelayDays/30+RelMonths,MAX($D$2:$D$40),0)</f>
        <v/>
      </c>
      <c r="L13" s="5">
        <f>IF(A13=Months+DelayDays/30,'Benchmark 8.4'!$D$9,0)</f>
        <v/>
      </c>
      <c r="M13" s="5">
        <f>IF(A13-PayLagDays/30&gt;=0,OFFSET(J13,-PayLagDays/30,0),0)+E13+K13-L13</f>
        <v/>
      </c>
      <c r="N13" s="5">
        <f>CostShare*B13</f>
        <v/>
      </c>
      <c r="O13" s="5">
        <f>O12+M13</f>
        <v/>
      </c>
      <c r="P13" s="5">
        <f>P12+N13</f>
        <v/>
      </c>
      <c r="Q13" s="5">
        <f>P13-O13</f>
        <v/>
      </c>
      <c r="R13" s="5">
        <f>D13-SUM($K$2:K13)</f>
        <v/>
      </c>
      <c r="S13" s="5">
        <f>IF(D13&gt;=RetCap*ContractValue-0.000001,A13,999)</f>
        <v/>
      </c>
      <c r="T13" s="5">
        <f>IF(AND(A13&gt;=1,H13&gt;=(AdvFirst+AdvSecond)*ContractValue-0.000001),A13,999)</f>
        <v/>
      </c>
    </row>
    <row r="14">
      <c r="A14" s="8" t="n">
        <v>12</v>
      </c>
      <c r="B14" s="5">
        <f>IF(AND(A14&gt;=1,A14&lt;=Months),ContractValue/Months,0)</f>
        <v/>
      </c>
      <c r="C14" s="5">
        <f>MAX(0,MIN(RetRate*B14,RetCap*ContractValue-D13))</f>
        <v/>
      </c>
      <c r="D14" s="5">
        <f>D13+C14</f>
        <v/>
      </c>
      <c r="E14" s="5">
        <f>IF(A14=AdvFirstMonth,AdvFirst*ContractValue,0)+IF(A14=AdvSecondMonth,AdvSecond*ContractValue,0)</f>
        <v/>
      </c>
      <c r="F14" s="5">
        <f>F13+E14</f>
        <v/>
      </c>
      <c r="G14" s="5">
        <f>IF(A14=0,0,IF(OR(A14&gt;=Months,A14&gt;=MAX(1,FLOOR(RecDeadline*Months,1))),F14-H13,MIN(RecRate*B14,F14-H13)))</f>
        <v/>
      </c>
      <c r="H14" s="5">
        <f>H13+G14</f>
        <v/>
      </c>
      <c r="I14" s="5">
        <f>F14-H14</f>
        <v/>
      </c>
      <c r="J14" s="5">
        <f>B14-C14-G14</f>
        <v/>
      </c>
      <c r="K14" s="5">
        <f>IF(A14=Months+DelayDays/30+RelMonths,MAX($D$2:$D$40),0)</f>
        <v/>
      </c>
      <c r="L14" s="5">
        <f>IF(A14=Months+DelayDays/30,'Benchmark 8.4'!$D$9,0)</f>
        <v/>
      </c>
      <c r="M14" s="5">
        <f>IF(A14-PayLagDays/30&gt;=0,OFFSET(J14,-PayLagDays/30,0),0)+E14+K14-L14</f>
        <v/>
      </c>
      <c r="N14" s="5">
        <f>CostShare*B14</f>
        <v/>
      </c>
      <c r="O14" s="5">
        <f>O13+M14</f>
        <v/>
      </c>
      <c r="P14" s="5">
        <f>P13+N14</f>
        <v/>
      </c>
      <c r="Q14" s="5">
        <f>P14-O14</f>
        <v/>
      </c>
      <c r="R14" s="5">
        <f>D14-SUM($K$2:K14)</f>
        <v/>
      </c>
      <c r="S14" s="5">
        <f>IF(D14&gt;=RetCap*ContractValue-0.000001,A14,999)</f>
        <v/>
      </c>
      <c r="T14" s="5">
        <f>IF(AND(A14&gt;=1,H14&gt;=(AdvFirst+AdvSecond)*ContractValue-0.000001),A14,999)</f>
        <v/>
      </c>
    </row>
    <row r="15">
      <c r="A15" s="8" t="n">
        <v>13</v>
      </c>
      <c r="B15" s="5">
        <f>IF(AND(A15&gt;=1,A15&lt;=Months),ContractValue/Months,0)</f>
        <v/>
      </c>
      <c r="C15" s="5">
        <f>MAX(0,MIN(RetRate*B15,RetCap*ContractValue-D14))</f>
        <v/>
      </c>
      <c r="D15" s="5">
        <f>D14+C15</f>
        <v/>
      </c>
      <c r="E15" s="5">
        <f>IF(A15=AdvFirstMonth,AdvFirst*ContractValue,0)+IF(A15=AdvSecondMonth,AdvSecond*ContractValue,0)</f>
        <v/>
      </c>
      <c r="F15" s="5">
        <f>F14+E15</f>
        <v/>
      </c>
      <c r="G15" s="5">
        <f>IF(A15=0,0,IF(OR(A15&gt;=Months,A15&gt;=MAX(1,FLOOR(RecDeadline*Months,1))),F15-H14,MIN(RecRate*B15,F15-H14)))</f>
        <v/>
      </c>
      <c r="H15" s="5">
        <f>H14+G15</f>
        <v/>
      </c>
      <c r="I15" s="5">
        <f>F15-H15</f>
        <v/>
      </c>
      <c r="J15" s="5">
        <f>B15-C15-G15</f>
        <v/>
      </c>
      <c r="K15" s="5">
        <f>IF(A15=Months+DelayDays/30+RelMonths,MAX($D$2:$D$40),0)</f>
        <v/>
      </c>
      <c r="L15" s="5">
        <f>IF(A15=Months+DelayDays/30,'Benchmark 8.4'!$D$9,0)</f>
        <v/>
      </c>
      <c r="M15" s="5">
        <f>IF(A15-PayLagDays/30&gt;=0,OFFSET(J15,-PayLagDays/30,0),0)+E15+K15-L15</f>
        <v/>
      </c>
      <c r="N15" s="5">
        <f>CostShare*B15</f>
        <v/>
      </c>
      <c r="O15" s="5">
        <f>O14+M15</f>
        <v/>
      </c>
      <c r="P15" s="5">
        <f>P14+N15</f>
        <v/>
      </c>
      <c r="Q15" s="5">
        <f>P15-O15</f>
        <v/>
      </c>
      <c r="R15" s="5">
        <f>D15-SUM($K$2:K15)</f>
        <v/>
      </c>
      <c r="S15" s="5">
        <f>IF(D15&gt;=RetCap*ContractValue-0.000001,A15,999)</f>
        <v/>
      </c>
      <c r="T15" s="5">
        <f>IF(AND(A15&gt;=1,H15&gt;=(AdvFirst+AdvSecond)*ContractValue-0.000001),A15,999)</f>
        <v/>
      </c>
    </row>
    <row r="16">
      <c r="A16" s="8" t="n">
        <v>14</v>
      </c>
      <c r="B16" s="5">
        <f>IF(AND(A16&gt;=1,A16&lt;=Months),ContractValue/Months,0)</f>
        <v/>
      </c>
      <c r="C16" s="5">
        <f>MAX(0,MIN(RetRate*B16,RetCap*ContractValue-D15))</f>
        <v/>
      </c>
      <c r="D16" s="5">
        <f>D15+C16</f>
        <v/>
      </c>
      <c r="E16" s="5">
        <f>IF(A16=AdvFirstMonth,AdvFirst*ContractValue,0)+IF(A16=AdvSecondMonth,AdvSecond*ContractValue,0)</f>
        <v/>
      </c>
      <c r="F16" s="5">
        <f>F15+E16</f>
        <v/>
      </c>
      <c r="G16" s="5">
        <f>IF(A16=0,0,IF(OR(A16&gt;=Months,A16&gt;=MAX(1,FLOOR(RecDeadline*Months,1))),F16-H15,MIN(RecRate*B16,F16-H15)))</f>
        <v/>
      </c>
      <c r="H16" s="5">
        <f>H15+G16</f>
        <v/>
      </c>
      <c r="I16" s="5">
        <f>F16-H16</f>
        <v/>
      </c>
      <c r="J16" s="5">
        <f>B16-C16-G16</f>
        <v/>
      </c>
      <c r="K16" s="5">
        <f>IF(A16=Months+DelayDays/30+RelMonths,MAX($D$2:$D$40),0)</f>
        <v/>
      </c>
      <c r="L16" s="5">
        <f>IF(A16=Months+DelayDays/30,'Benchmark 8.4'!$D$9,0)</f>
        <v/>
      </c>
      <c r="M16" s="5">
        <f>IF(A16-PayLagDays/30&gt;=0,OFFSET(J16,-PayLagDays/30,0),0)+E16+K16-L16</f>
        <v/>
      </c>
      <c r="N16" s="5">
        <f>CostShare*B16</f>
        <v/>
      </c>
      <c r="O16" s="5">
        <f>O15+M16</f>
        <v/>
      </c>
      <c r="P16" s="5">
        <f>P15+N16</f>
        <v/>
      </c>
      <c r="Q16" s="5">
        <f>P16-O16</f>
        <v/>
      </c>
      <c r="R16" s="5">
        <f>D16-SUM($K$2:K16)</f>
        <v/>
      </c>
      <c r="S16" s="5">
        <f>IF(D16&gt;=RetCap*ContractValue-0.000001,A16,999)</f>
        <v/>
      </c>
      <c r="T16" s="5">
        <f>IF(AND(A16&gt;=1,H16&gt;=(AdvFirst+AdvSecond)*ContractValue-0.000001),A16,999)</f>
        <v/>
      </c>
    </row>
    <row r="17">
      <c r="A17" s="8" t="n">
        <v>15</v>
      </c>
      <c r="B17" s="5">
        <f>IF(AND(A17&gt;=1,A17&lt;=Months),ContractValue/Months,0)</f>
        <v/>
      </c>
      <c r="C17" s="5">
        <f>MAX(0,MIN(RetRate*B17,RetCap*ContractValue-D16))</f>
        <v/>
      </c>
      <c r="D17" s="5">
        <f>D16+C17</f>
        <v/>
      </c>
      <c r="E17" s="5">
        <f>IF(A17=AdvFirstMonth,AdvFirst*ContractValue,0)+IF(A17=AdvSecondMonth,AdvSecond*ContractValue,0)</f>
        <v/>
      </c>
      <c r="F17" s="5">
        <f>F16+E17</f>
        <v/>
      </c>
      <c r="G17" s="5">
        <f>IF(A17=0,0,IF(OR(A17&gt;=Months,A17&gt;=MAX(1,FLOOR(RecDeadline*Months,1))),F17-H16,MIN(RecRate*B17,F17-H16)))</f>
        <v/>
      </c>
      <c r="H17" s="5">
        <f>H16+G17</f>
        <v/>
      </c>
      <c r="I17" s="5">
        <f>F17-H17</f>
        <v/>
      </c>
      <c r="J17" s="5">
        <f>B17-C17-G17</f>
        <v/>
      </c>
      <c r="K17" s="5">
        <f>IF(A17=Months+DelayDays/30+RelMonths,MAX($D$2:$D$40),0)</f>
        <v/>
      </c>
      <c r="L17" s="5">
        <f>IF(A17=Months+DelayDays/30,'Benchmark 8.4'!$D$9,0)</f>
        <v/>
      </c>
      <c r="M17" s="5">
        <f>IF(A17-PayLagDays/30&gt;=0,OFFSET(J17,-PayLagDays/30,0),0)+E17+K17-L17</f>
        <v/>
      </c>
      <c r="N17" s="5">
        <f>CostShare*B17</f>
        <v/>
      </c>
      <c r="O17" s="5">
        <f>O16+M17</f>
        <v/>
      </c>
      <c r="P17" s="5">
        <f>P16+N17</f>
        <v/>
      </c>
      <c r="Q17" s="5">
        <f>P17-O17</f>
        <v/>
      </c>
      <c r="R17" s="5">
        <f>D17-SUM($K$2:K17)</f>
        <v/>
      </c>
      <c r="S17" s="5">
        <f>IF(D17&gt;=RetCap*ContractValue-0.000001,A17,999)</f>
        <v/>
      </c>
      <c r="T17" s="5">
        <f>IF(AND(A17&gt;=1,H17&gt;=(AdvFirst+AdvSecond)*ContractValue-0.000001),A17,999)</f>
        <v/>
      </c>
    </row>
    <row r="18">
      <c r="A18" s="8" t="n">
        <v>16</v>
      </c>
      <c r="B18" s="5">
        <f>IF(AND(A18&gt;=1,A18&lt;=Months),ContractValue/Months,0)</f>
        <v/>
      </c>
      <c r="C18" s="5">
        <f>MAX(0,MIN(RetRate*B18,RetCap*ContractValue-D17))</f>
        <v/>
      </c>
      <c r="D18" s="5">
        <f>D17+C18</f>
        <v/>
      </c>
      <c r="E18" s="5">
        <f>IF(A18=AdvFirstMonth,AdvFirst*ContractValue,0)+IF(A18=AdvSecondMonth,AdvSecond*ContractValue,0)</f>
        <v/>
      </c>
      <c r="F18" s="5">
        <f>F17+E18</f>
        <v/>
      </c>
      <c r="G18" s="5">
        <f>IF(A18=0,0,IF(OR(A18&gt;=Months,A18&gt;=MAX(1,FLOOR(RecDeadline*Months,1))),F18-H17,MIN(RecRate*B18,F18-H17)))</f>
        <v/>
      </c>
      <c r="H18" s="5">
        <f>H17+G18</f>
        <v/>
      </c>
      <c r="I18" s="5">
        <f>F18-H18</f>
        <v/>
      </c>
      <c r="J18" s="5">
        <f>B18-C18-G18</f>
        <v/>
      </c>
      <c r="K18" s="5">
        <f>IF(A18=Months+DelayDays/30+RelMonths,MAX($D$2:$D$40),0)</f>
        <v/>
      </c>
      <c r="L18" s="5">
        <f>IF(A18=Months+DelayDays/30,'Benchmark 8.4'!$D$9,0)</f>
        <v/>
      </c>
      <c r="M18" s="5">
        <f>IF(A18-PayLagDays/30&gt;=0,OFFSET(J18,-PayLagDays/30,0),0)+E18+K18-L18</f>
        <v/>
      </c>
      <c r="N18" s="5">
        <f>CostShare*B18</f>
        <v/>
      </c>
      <c r="O18" s="5">
        <f>O17+M18</f>
        <v/>
      </c>
      <c r="P18" s="5">
        <f>P17+N18</f>
        <v/>
      </c>
      <c r="Q18" s="5">
        <f>P18-O18</f>
        <v/>
      </c>
      <c r="R18" s="5">
        <f>D18-SUM($K$2:K18)</f>
        <v/>
      </c>
      <c r="S18" s="5">
        <f>IF(D18&gt;=RetCap*ContractValue-0.000001,A18,999)</f>
        <v/>
      </c>
      <c r="T18" s="5">
        <f>IF(AND(A18&gt;=1,H18&gt;=(AdvFirst+AdvSecond)*ContractValue-0.000001),A18,999)</f>
        <v/>
      </c>
    </row>
    <row r="19">
      <c r="A19" s="8" t="n">
        <v>17</v>
      </c>
      <c r="B19" s="5">
        <f>IF(AND(A19&gt;=1,A19&lt;=Months),ContractValue/Months,0)</f>
        <v/>
      </c>
      <c r="C19" s="5">
        <f>MAX(0,MIN(RetRate*B19,RetCap*ContractValue-D18))</f>
        <v/>
      </c>
      <c r="D19" s="5">
        <f>D18+C19</f>
        <v/>
      </c>
      <c r="E19" s="5">
        <f>IF(A19=AdvFirstMonth,AdvFirst*ContractValue,0)+IF(A19=AdvSecondMonth,AdvSecond*ContractValue,0)</f>
        <v/>
      </c>
      <c r="F19" s="5">
        <f>F18+E19</f>
        <v/>
      </c>
      <c r="G19" s="5">
        <f>IF(A19=0,0,IF(OR(A19&gt;=Months,A19&gt;=MAX(1,FLOOR(RecDeadline*Months,1))),F19-H18,MIN(RecRate*B19,F19-H18)))</f>
        <v/>
      </c>
      <c r="H19" s="5">
        <f>H18+G19</f>
        <v/>
      </c>
      <c r="I19" s="5">
        <f>F19-H19</f>
        <v/>
      </c>
      <c r="J19" s="5">
        <f>B19-C19-G19</f>
        <v/>
      </c>
      <c r="K19" s="5">
        <f>IF(A19=Months+DelayDays/30+RelMonths,MAX($D$2:$D$40),0)</f>
        <v/>
      </c>
      <c r="L19" s="5">
        <f>IF(A19=Months+DelayDays/30,'Benchmark 8.4'!$D$9,0)</f>
        <v/>
      </c>
      <c r="M19" s="5">
        <f>IF(A19-PayLagDays/30&gt;=0,OFFSET(J19,-PayLagDays/30,0),0)+E19+K19-L19</f>
        <v/>
      </c>
      <c r="N19" s="5">
        <f>CostShare*B19</f>
        <v/>
      </c>
      <c r="O19" s="5">
        <f>O18+M19</f>
        <v/>
      </c>
      <c r="P19" s="5">
        <f>P18+N19</f>
        <v/>
      </c>
      <c r="Q19" s="5">
        <f>P19-O19</f>
        <v/>
      </c>
      <c r="R19" s="5">
        <f>D19-SUM($K$2:K19)</f>
        <v/>
      </c>
      <c r="S19" s="5">
        <f>IF(D19&gt;=RetCap*ContractValue-0.000001,A19,999)</f>
        <v/>
      </c>
      <c r="T19" s="5">
        <f>IF(AND(A19&gt;=1,H19&gt;=(AdvFirst+AdvSecond)*ContractValue-0.000001),A19,999)</f>
        <v/>
      </c>
    </row>
    <row r="20">
      <c r="A20" s="8" t="n">
        <v>18</v>
      </c>
      <c r="B20" s="5">
        <f>IF(AND(A20&gt;=1,A20&lt;=Months),ContractValue/Months,0)</f>
        <v/>
      </c>
      <c r="C20" s="5">
        <f>MAX(0,MIN(RetRate*B20,RetCap*ContractValue-D19))</f>
        <v/>
      </c>
      <c r="D20" s="5">
        <f>D19+C20</f>
        <v/>
      </c>
      <c r="E20" s="5">
        <f>IF(A20=AdvFirstMonth,AdvFirst*ContractValue,0)+IF(A20=AdvSecondMonth,AdvSecond*ContractValue,0)</f>
        <v/>
      </c>
      <c r="F20" s="5">
        <f>F19+E20</f>
        <v/>
      </c>
      <c r="G20" s="5">
        <f>IF(A20=0,0,IF(OR(A20&gt;=Months,A20&gt;=MAX(1,FLOOR(RecDeadline*Months,1))),F20-H19,MIN(RecRate*B20,F20-H19)))</f>
        <v/>
      </c>
      <c r="H20" s="5">
        <f>H19+G20</f>
        <v/>
      </c>
      <c r="I20" s="5">
        <f>F20-H20</f>
        <v/>
      </c>
      <c r="J20" s="5">
        <f>B20-C20-G20</f>
        <v/>
      </c>
      <c r="K20" s="5">
        <f>IF(A20=Months+DelayDays/30+RelMonths,MAX($D$2:$D$40),0)</f>
        <v/>
      </c>
      <c r="L20" s="5">
        <f>IF(A20=Months+DelayDays/30,'Benchmark 8.4'!$D$9,0)</f>
        <v/>
      </c>
      <c r="M20" s="5">
        <f>IF(A20-PayLagDays/30&gt;=0,OFFSET(J20,-PayLagDays/30,0),0)+E20+K20-L20</f>
        <v/>
      </c>
      <c r="N20" s="5">
        <f>CostShare*B20</f>
        <v/>
      </c>
      <c r="O20" s="5">
        <f>O19+M20</f>
        <v/>
      </c>
      <c r="P20" s="5">
        <f>P19+N20</f>
        <v/>
      </c>
      <c r="Q20" s="5">
        <f>P20-O20</f>
        <v/>
      </c>
      <c r="R20" s="5">
        <f>D20-SUM($K$2:K20)</f>
        <v/>
      </c>
      <c r="S20" s="5">
        <f>IF(D20&gt;=RetCap*ContractValue-0.000001,A20,999)</f>
        <v/>
      </c>
      <c r="T20" s="5">
        <f>IF(AND(A20&gt;=1,H20&gt;=(AdvFirst+AdvSecond)*ContractValue-0.000001),A20,999)</f>
        <v/>
      </c>
    </row>
    <row r="21">
      <c r="A21" s="8" t="n">
        <v>19</v>
      </c>
      <c r="B21" s="5">
        <f>IF(AND(A21&gt;=1,A21&lt;=Months),ContractValue/Months,0)</f>
        <v/>
      </c>
      <c r="C21" s="5">
        <f>MAX(0,MIN(RetRate*B21,RetCap*ContractValue-D20))</f>
        <v/>
      </c>
      <c r="D21" s="5">
        <f>D20+C21</f>
        <v/>
      </c>
      <c r="E21" s="5">
        <f>IF(A21=AdvFirstMonth,AdvFirst*ContractValue,0)+IF(A21=AdvSecondMonth,AdvSecond*ContractValue,0)</f>
        <v/>
      </c>
      <c r="F21" s="5">
        <f>F20+E21</f>
        <v/>
      </c>
      <c r="G21" s="5">
        <f>IF(A21=0,0,IF(OR(A21&gt;=Months,A21&gt;=MAX(1,FLOOR(RecDeadline*Months,1))),F21-H20,MIN(RecRate*B21,F21-H20)))</f>
        <v/>
      </c>
      <c r="H21" s="5">
        <f>H20+G21</f>
        <v/>
      </c>
      <c r="I21" s="5">
        <f>F21-H21</f>
        <v/>
      </c>
      <c r="J21" s="5">
        <f>B21-C21-G21</f>
        <v/>
      </c>
      <c r="K21" s="5">
        <f>IF(A21=Months+DelayDays/30+RelMonths,MAX($D$2:$D$40),0)</f>
        <v/>
      </c>
      <c r="L21" s="5">
        <f>IF(A21=Months+DelayDays/30,'Benchmark 8.4'!$D$9,0)</f>
        <v/>
      </c>
      <c r="M21" s="5">
        <f>IF(A21-PayLagDays/30&gt;=0,OFFSET(J21,-PayLagDays/30,0),0)+E21+K21-L21</f>
        <v/>
      </c>
      <c r="N21" s="5">
        <f>CostShare*B21</f>
        <v/>
      </c>
      <c r="O21" s="5">
        <f>O20+M21</f>
        <v/>
      </c>
      <c r="P21" s="5">
        <f>P20+N21</f>
        <v/>
      </c>
      <c r="Q21" s="5">
        <f>P21-O21</f>
        <v/>
      </c>
      <c r="R21" s="5">
        <f>D21-SUM($K$2:K21)</f>
        <v/>
      </c>
      <c r="S21" s="5">
        <f>IF(D21&gt;=RetCap*ContractValue-0.000001,A21,999)</f>
        <v/>
      </c>
      <c r="T21" s="5">
        <f>IF(AND(A21&gt;=1,H21&gt;=(AdvFirst+AdvSecond)*ContractValue-0.000001),A21,999)</f>
        <v/>
      </c>
    </row>
    <row r="22">
      <c r="A22" s="8" t="n">
        <v>20</v>
      </c>
      <c r="B22" s="5">
        <f>IF(AND(A22&gt;=1,A22&lt;=Months),ContractValue/Months,0)</f>
        <v/>
      </c>
      <c r="C22" s="5">
        <f>MAX(0,MIN(RetRate*B22,RetCap*ContractValue-D21))</f>
        <v/>
      </c>
      <c r="D22" s="5">
        <f>D21+C22</f>
        <v/>
      </c>
      <c r="E22" s="5">
        <f>IF(A22=AdvFirstMonth,AdvFirst*ContractValue,0)+IF(A22=AdvSecondMonth,AdvSecond*ContractValue,0)</f>
        <v/>
      </c>
      <c r="F22" s="5">
        <f>F21+E22</f>
        <v/>
      </c>
      <c r="G22" s="5">
        <f>IF(A22=0,0,IF(OR(A22&gt;=Months,A22&gt;=MAX(1,FLOOR(RecDeadline*Months,1))),F22-H21,MIN(RecRate*B22,F22-H21)))</f>
        <v/>
      </c>
      <c r="H22" s="5">
        <f>H21+G22</f>
        <v/>
      </c>
      <c r="I22" s="5">
        <f>F22-H22</f>
        <v/>
      </c>
      <c r="J22" s="5">
        <f>B22-C22-G22</f>
        <v/>
      </c>
      <c r="K22" s="5">
        <f>IF(A22=Months+DelayDays/30+RelMonths,MAX($D$2:$D$40),0)</f>
        <v/>
      </c>
      <c r="L22" s="5">
        <f>IF(A22=Months+DelayDays/30,'Benchmark 8.4'!$D$9,0)</f>
        <v/>
      </c>
      <c r="M22" s="5">
        <f>IF(A22-PayLagDays/30&gt;=0,OFFSET(J22,-PayLagDays/30,0),0)+E22+K22-L22</f>
        <v/>
      </c>
      <c r="N22" s="5">
        <f>CostShare*B22</f>
        <v/>
      </c>
      <c r="O22" s="5">
        <f>O21+M22</f>
        <v/>
      </c>
      <c r="P22" s="5">
        <f>P21+N22</f>
        <v/>
      </c>
      <c r="Q22" s="5">
        <f>P22-O22</f>
        <v/>
      </c>
      <c r="R22" s="5">
        <f>D22-SUM($K$2:K22)</f>
        <v/>
      </c>
      <c r="S22" s="5">
        <f>IF(D22&gt;=RetCap*ContractValue-0.000001,A22,999)</f>
        <v/>
      </c>
      <c r="T22" s="5">
        <f>IF(AND(A22&gt;=1,H22&gt;=(AdvFirst+AdvSecond)*ContractValue-0.000001),A22,999)</f>
        <v/>
      </c>
    </row>
    <row r="23">
      <c r="A23" s="8" t="n">
        <v>21</v>
      </c>
      <c r="B23" s="5">
        <f>IF(AND(A23&gt;=1,A23&lt;=Months),ContractValue/Months,0)</f>
        <v/>
      </c>
      <c r="C23" s="5">
        <f>MAX(0,MIN(RetRate*B23,RetCap*ContractValue-D22))</f>
        <v/>
      </c>
      <c r="D23" s="5">
        <f>D22+C23</f>
        <v/>
      </c>
      <c r="E23" s="5">
        <f>IF(A23=AdvFirstMonth,AdvFirst*ContractValue,0)+IF(A23=AdvSecondMonth,AdvSecond*ContractValue,0)</f>
        <v/>
      </c>
      <c r="F23" s="5">
        <f>F22+E23</f>
        <v/>
      </c>
      <c r="G23" s="5">
        <f>IF(A23=0,0,IF(OR(A23&gt;=Months,A23&gt;=MAX(1,FLOOR(RecDeadline*Months,1))),F23-H22,MIN(RecRate*B23,F23-H22)))</f>
        <v/>
      </c>
      <c r="H23" s="5">
        <f>H22+G23</f>
        <v/>
      </c>
      <c r="I23" s="5">
        <f>F23-H23</f>
        <v/>
      </c>
      <c r="J23" s="5">
        <f>B23-C23-G23</f>
        <v/>
      </c>
      <c r="K23" s="5">
        <f>IF(A23=Months+DelayDays/30+RelMonths,MAX($D$2:$D$40),0)</f>
        <v/>
      </c>
      <c r="L23" s="5">
        <f>IF(A23=Months+DelayDays/30,'Benchmark 8.4'!$D$9,0)</f>
        <v/>
      </c>
      <c r="M23" s="5">
        <f>IF(A23-PayLagDays/30&gt;=0,OFFSET(J23,-PayLagDays/30,0),0)+E23+K23-L23</f>
        <v/>
      </c>
      <c r="N23" s="5">
        <f>CostShare*B23</f>
        <v/>
      </c>
      <c r="O23" s="5">
        <f>O22+M23</f>
        <v/>
      </c>
      <c r="P23" s="5">
        <f>P22+N23</f>
        <v/>
      </c>
      <c r="Q23" s="5">
        <f>P23-O23</f>
        <v/>
      </c>
      <c r="R23" s="5">
        <f>D23-SUM($K$2:K23)</f>
        <v/>
      </c>
      <c r="S23" s="5">
        <f>IF(D23&gt;=RetCap*ContractValue-0.000001,A23,999)</f>
        <v/>
      </c>
      <c r="T23" s="5">
        <f>IF(AND(A23&gt;=1,H23&gt;=(AdvFirst+AdvSecond)*ContractValue-0.000001),A23,999)</f>
        <v/>
      </c>
    </row>
    <row r="24">
      <c r="A24" s="8" t="n">
        <v>22</v>
      </c>
      <c r="B24" s="5">
        <f>IF(AND(A24&gt;=1,A24&lt;=Months),ContractValue/Months,0)</f>
        <v/>
      </c>
      <c r="C24" s="5">
        <f>MAX(0,MIN(RetRate*B24,RetCap*ContractValue-D23))</f>
        <v/>
      </c>
      <c r="D24" s="5">
        <f>D23+C24</f>
        <v/>
      </c>
      <c r="E24" s="5">
        <f>IF(A24=AdvFirstMonth,AdvFirst*ContractValue,0)+IF(A24=AdvSecondMonth,AdvSecond*ContractValue,0)</f>
        <v/>
      </c>
      <c r="F24" s="5">
        <f>F23+E24</f>
        <v/>
      </c>
      <c r="G24" s="5">
        <f>IF(A24=0,0,IF(OR(A24&gt;=Months,A24&gt;=MAX(1,FLOOR(RecDeadline*Months,1))),F24-H23,MIN(RecRate*B24,F24-H23)))</f>
        <v/>
      </c>
      <c r="H24" s="5">
        <f>H23+G24</f>
        <v/>
      </c>
      <c r="I24" s="5">
        <f>F24-H24</f>
        <v/>
      </c>
      <c r="J24" s="5">
        <f>B24-C24-G24</f>
        <v/>
      </c>
      <c r="K24" s="5">
        <f>IF(A24=Months+DelayDays/30+RelMonths,MAX($D$2:$D$40),0)</f>
        <v/>
      </c>
      <c r="L24" s="5">
        <f>IF(A24=Months+DelayDays/30,'Benchmark 8.4'!$D$9,0)</f>
        <v/>
      </c>
      <c r="M24" s="5">
        <f>IF(A24-PayLagDays/30&gt;=0,OFFSET(J24,-PayLagDays/30,0),0)+E24+K24-L24</f>
        <v/>
      </c>
      <c r="N24" s="5">
        <f>CostShare*B24</f>
        <v/>
      </c>
      <c r="O24" s="5">
        <f>O23+M24</f>
        <v/>
      </c>
      <c r="P24" s="5">
        <f>P23+N24</f>
        <v/>
      </c>
      <c r="Q24" s="5">
        <f>P24-O24</f>
        <v/>
      </c>
      <c r="R24" s="5">
        <f>D24-SUM($K$2:K24)</f>
        <v/>
      </c>
      <c r="S24" s="5">
        <f>IF(D24&gt;=RetCap*ContractValue-0.000001,A24,999)</f>
        <v/>
      </c>
      <c r="T24" s="5">
        <f>IF(AND(A24&gt;=1,H24&gt;=(AdvFirst+AdvSecond)*ContractValue-0.000001),A24,999)</f>
        <v/>
      </c>
    </row>
    <row r="25">
      <c r="A25" s="8" t="n">
        <v>23</v>
      </c>
      <c r="B25" s="5">
        <f>IF(AND(A25&gt;=1,A25&lt;=Months),ContractValue/Months,0)</f>
        <v/>
      </c>
      <c r="C25" s="5">
        <f>MAX(0,MIN(RetRate*B25,RetCap*ContractValue-D24))</f>
        <v/>
      </c>
      <c r="D25" s="5">
        <f>D24+C25</f>
        <v/>
      </c>
      <c r="E25" s="5">
        <f>IF(A25=AdvFirstMonth,AdvFirst*ContractValue,0)+IF(A25=AdvSecondMonth,AdvSecond*ContractValue,0)</f>
        <v/>
      </c>
      <c r="F25" s="5">
        <f>F24+E25</f>
        <v/>
      </c>
      <c r="G25" s="5">
        <f>IF(A25=0,0,IF(OR(A25&gt;=Months,A25&gt;=MAX(1,FLOOR(RecDeadline*Months,1))),F25-H24,MIN(RecRate*B25,F25-H24)))</f>
        <v/>
      </c>
      <c r="H25" s="5">
        <f>H24+G25</f>
        <v/>
      </c>
      <c r="I25" s="5">
        <f>F25-H25</f>
        <v/>
      </c>
      <c r="J25" s="5">
        <f>B25-C25-G25</f>
        <v/>
      </c>
      <c r="K25" s="5">
        <f>IF(A25=Months+DelayDays/30+RelMonths,MAX($D$2:$D$40),0)</f>
        <v/>
      </c>
      <c r="L25" s="5">
        <f>IF(A25=Months+DelayDays/30,'Benchmark 8.4'!$D$9,0)</f>
        <v/>
      </c>
      <c r="M25" s="5">
        <f>IF(A25-PayLagDays/30&gt;=0,OFFSET(J25,-PayLagDays/30,0),0)+E25+K25-L25</f>
        <v/>
      </c>
      <c r="N25" s="5">
        <f>CostShare*B25</f>
        <v/>
      </c>
      <c r="O25" s="5">
        <f>O24+M25</f>
        <v/>
      </c>
      <c r="P25" s="5">
        <f>P24+N25</f>
        <v/>
      </c>
      <c r="Q25" s="5">
        <f>P25-O25</f>
        <v/>
      </c>
      <c r="R25" s="5">
        <f>D25-SUM($K$2:K25)</f>
        <v/>
      </c>
      <c r="S25" s="5">
        <f>IF(D25&gt;=RetCap*ContractValue-0.000001,A25,999)</f>
        <v/>
      </c>
      <c r="T25" s="5">
        <f>IF(AND(A25&gt;=1,H25&gt;=(AdvFirst+AdvSecond)*ContractValue-0.000001),A25,999)</f>
        <v/>
      </c>
    </row>
    <row r="26">
      <c r="A26" s="8" t="n">
        <v>24</v>
      </c>
      <c r="B26" s="5">
        <f>IF(AND(A26&gt;=1,A26&lt;=Months),ContractValue/Months,0)</f>
        <v/>
      </c>
      <c r="C26" s="5">
        <f>MAX(0,MIN(RetRate*B26,RetCap*ContractValue-D25))</f>
        <v/>
      </c>
      <c r="D26" s="5">
        <f>D25+C26</f>
        <v/>
      </c>
      <c r="E26" s="5">
        <f>IF(A26=AdvFirstMonth,AdvFirst*ContractValue,0)+IF(A26=AdvSecondMonth,AdvSecond*ContractValue,0)</f>
        <v/>
      </c>
      <c r="F26" s="5">
        <f>F25+E26</f>
        <v/>
      </c>
      <c r="G26" s="5">
        <f>IF(A26=0,0,IF(OR(A26&gt;=Months,A26&gt;=MAX(1,FLOOR(RecDeadline*Months,1))),F26-H25,MIN(RecRate*B26,F26-H25)))</f>
        <v/>
      </c>
      <c r="H26" s="5">
        <f>H25+G26</f>
        <v/>
      </c>
      <c r="I26" s="5">
        <f>F26-H26</f>
        <v/>
      </c>
      <c r="J26" s="5">
        <f>B26-C26-G26</f>
        <v/>
      </c>
      <c r="K26" s="5">
        <f>IF(A26=Months+DelayDays/30+RelMonths,MAX($D$2:$D$40),0)</f>
        <v/>
      </c>
      <c r="L26" s="5">
        <f>IF(A26=Months+DelayDays/30,'Benchmark 8.4'!$D$9,0)</f>
        <v/>
      </c>
      <c r="M26" s="5">
        <f>IF(A26-PayLagDays/30&gt;=0,OFFSET(J26,-PayLagDays/30,0),0)+E26+K26-L26</f>
        <v/>
      </c>
      <c r="N26" s="5">
        <f>CostShare*B26</f>
        <v/>
      </c>
      <c r="O26" s="5">
        <f>O25+M26</f>
        <v/>
      </c>
      <c r="P26" s="5">
        <f>P25+N26</f>
        <v/>
      </c>
      <c r="Q26" s="5">
        <f>P26-O26</f>
        <v/>
      </c>
      <c r="R26" s="5">
        <f>D26-SUM($K$2:K26)</f>
        <v/>
      </c>
      <c r="S26" s="5">
        <f>IF(D26&gt;=RetCap*ContractValue-0.000001,A26,999)</f>
        <v/>
      </c>
      <c r="T26" s="5">
        <f>IF(AND(A26&gt;=1,H26&gt;=(AdvFirst+AdvSecond)*ContractValue-0.000001),A26,999)</f>
        <v/>
      </c>
    </row>
    <row r="27">
      <c r="A27" s="8" t="n">
        <v>25</v>
      </c>
      <c r="B27" s="5">
        <f>IF(AND(A27&gt;=1,A27&lt;=Months),ContractValue/Months,0)</f>
        <v/>
      </c>
      <c r="C27" s="5">
        <f>MAX(0,MIN(RetRate*B27,RetCap*ContractValue-D26))</f>
        <v/>
      </c>
      <c r="D27" s="5">
        <f>D26+C27</f>
        <v/>
      </c>
      <c r="E27" s="5">
        <f>IF(A27=AdvFirstMonth,AdvFirst*ContractValue,0)+IF(A27=AdvSecondMonth,AdvSecond*ContractValue,0)</f>
        <v/>
      </c>
      <c r="F27" s="5">
        <f>F26+E27</f>
        <v/>
      </c>
      <c r="G27" s="5">
        <f>IF(A27=0,0,IF(OR(A27&gt;=Months,A27&gt;=MAX(1,FLOOR(RecDeadline*Months,1))),F27-H26,MIN(RecRate*B27,F27-H26)))</f>
        <v/>
      </c>
      <c r="H27" s="5">
        <f>H26+G27</f>
        <v/>
      </c>
      <c r="I27" s="5">
        <f>F27-H27</f>
        <v/>
      </c>
      <c r="J27" s="5">
        <f>B27-C27-G27</f>
        <v/>
      </c>
      <c r="K27" s="5">
        <f>IF(A27=Months+DelayDays/30+RelMonths,MAX($D$2:$D$40),0)</f>
        <v/>
      </c>
      <c r="L27" s="5">
        <f>IF(A27=Months+DelayDays/30,'Benchmark 8.4'!$D$9,0)</f>
        <v/>
      </c>
      <c r="M27" s="5">
        <f>IF(A27-PayLagDays/30&gt;=0,OFFSET(J27,-PayLagDays/30,0),0)+E27+K27-L27</f>
        <v/>
      </c>
      <c r="N27" s="5">
        <f>CostShare*B27</f>
        <v/>
      </c>
      <c r="O27" s="5">
        <f>O26+M27</f>
        <v/>
      </c>
      <c r="P27" s="5">
        <f>P26+N27</f>
        <v/>
      </c>
      <c r="Q27" s="5">
        <f>P27-O27</f>
        <v/>
      </c>
      <c r="R27" s="5">
        <f>D27-SUM($K$2:K27)</f>
        <v/>
      </c>
      <c r="S27" s="5">
        <f>IF(D27&gt;=RetCap*ContractValue-0.000001,A27,999)</f>
        <v/>
      </c>
      <c r="T27" s="5">
        <f>IF(AND(A27&gt;=1,H27&gt;=(AdvFirst+AdvSecond)*ContractValue-0.000001),A27,999)</f>
        <v/>
      </c>
    </row>
    <row r="28">
      <c r="A28" s="8" t="n">
        <v>26</v>
      </c>
      <c r="B28" s="5">
        <f>IF(AND(A28&gt;=1,A28&lt;=Months),ContractValue/Months,0)</f>
        <v/>
      </c>
      <c r="C28" s="5">
        <f>MAX(0,MIN(RetRate*B28,RetCap*ContractValue-D27))</f>
        <v/>
      </c>
      <c r="D28" s="5">
        <f>D27+C28</f>
        <v/>
      </c>
      <c r="E28" s="5">
        <f>IF(A28=AdvFirstMonth,AdvFirst*ContractValue,0)+IF(A28=AdvSecondMonth,AdvSecond*ContractValue,0)</f>
        <v/>
      </c>
      <c r="F28" s="5">
        <f>F27+E28</f>
        <v/>
      </c>
      <c r="G28" s="5">
        <f>IF(A28=0,0,IF(OR(A28&gt;=Months,A28&gt;=MAX(1,FLOOR(RecDeadline*Months,1))),F28-H27,MIN(RecRate*B28,F28-H27)))</f>
        <v/>
      </c>
      <c r="H28" s="5">
        <f>H27+G28</f>
        <v/>
      </c>
      <c r="I28" s="5">
        <f>F28-H28</f>
        <v/>
      </c>
      <c r="J28" s="5">
        <f>B28-C28-G28</f>
        <v/>
      </c>
      <c r="K28" s="5">
        <f>IF(A28=Months+DelayDays/30+RelMonths,MAX($D$2:$D$40),0)</f>
        <v/>
      </c>
      <c r="L28" s="5">
        <f>IF(A28=Months+DelayDays/30,'Benchmark 8.4'!$D$9,0)</f>
        <v/>
      </c>
      <c r="M28" s="5">
        <f>IF(A28-PayLagDays/30&gt;=0,OFFSET(J28,-PayLagDays/30,0),0)+E28+K28-L28</f>
        <v/>
      </c>
      <c r="N28" s="5">
        <f>CostShare*B28</f>
        <v/>
      </c>
      <c r="O28" s="5">
        <f>O27+M28</f>
        <v/>
      </c>
      <c r="P28" s="5">
        <f>P27+N28</f>
        <v/>
      </c>
      <c r="Q28" s="5">
        <f>P28-O28</f>
        <v/>
      </c>
      <c r="R28" s="5">
        <f>D28-SUM($K$2:K28)</f>
        <v/>
      </c>
      <c r="S28" s="5">
        <f>IF(D28&gt;=RetCap*ContractValue-0.000001,A28,999)</f>
        <v/>
      </c>
      <c r="T28" s="5">
        <f>IF(AND(A28&gt;=1,H28&gt;=(AdvFirst+AdvSecond)*ContractValue-0.000001),A28,999)</f>
        <v/>
      </c>
    </row>
    <row r="29">
      <c r="A29" s="8" t="n">
        <v>27</v>
      </c>
      <c r="B29" s="5">
        <f>IF(AND(A29&gt;=1,A29&lt;=Months),ContractValue/Months,0)</f>
        <v/>
      </c>
      <c r="C29" s="5">
        <f>MAX(0,MIN(RetRate*B29,RetCap*ContractValue-D28))</f>
        <v/>
      </c>
      <c r="D29" s="5">
        <f>D28+C29</f>
        <v/>
      </c>
      <c r="E29" s="5">
        <f>IF(A29=AdvFirstMonth,AdvFirst*ContractValue,0)+IF(A29=AdvSecondMonth,AdvSecond*ContractValue,0)</f>
        <v/>
      </c>
      <c r="F29" s="5">
        <f>F28+E29</f>
        <v/>
      </c>
      <c r="G29" s="5">
        <f>IF(A29=0,0,IF(OR(A29&gt;=Months,A29&gt;=MAX(1,FLOOR(RecDeadline*Months,1))),F29-H28,MIN(RecRate*B29,F29-H28)))</f>
        <v/>
      </c>
      <c r="H29" s="5">
        <f>H28+G29</f>
        <v/>
      </c>
      <c r="I29" s="5">
        <f>F29-H29</f>
        <v/>
      </c>
      <c r="J29" s="5">
        <f>B29-C29-G29</f>
        <v/>
      </c>
      <c r="K29" s="5">
        <f>IF(A29=Months+DelayDays/30+RelMonths,MAX($D$2:$D$40),0)</f>
        <v/>
      </c>
      <c r="L29" s="5">
        <f>IF(A29=Months+DelayDays/30,'Benchmark 8.4'!$D$9,0)</f>
        <v/>
      </c>
      <c r="M29" s="5">
        <f>IF(A29-PayLagDays/30&gt;=0,OFFSET(J29,-PayLagDays/30,0),0)+E29+K29-L29</f>
        <v/>
      </c>
      <c r="N29" s="5">
        <f>CostShare*B29</f>
        <v/>
      </c>
      <c r="O29" s="5">
        <f>O28+M29</f>
        <v/>
      </c>
      <c r="P29" s="5">
        <f>P28+N29</f>
        <v/>
      </c>
      <c r="Q29" s="5">
        <f>P29-O29</f>
        <v/>
      </c>
      <c r="R29" s="5">
        <f>D29-SUM($K$2:K29)</f>
        <v/>
      </c>
      <c r="S29" s="5">
        <f>IF(D29&gt;=RetCap*ContractValue-0.000001,A29,999)</f>
        <v/>
      </c>
      <c r="T29" s="5">
        <f>IF(AND(A29&gt;=1,H29&gt;=(AdvFirst+AdvSecond)*ContractValue-0.000001),A29,999)</f>
        <v/>
      </c>
    </row>
    <row r="30">
      <c r="A30" s="8" t="n">
        <v>28</v>
      </c>
      <c r="B30" s="5">
        <f>IF(AND(A30&gt;=1,A30&lt;=Months),ContractValue/Months,0)</f>
        <v/>
      </c>
      <c r="C30" s="5">
        <f>MAX(0,MIN(RetRate*B30,RetCap*ContractValue-D29))</f>
        <v/>
      </c>
      <c r="D30" s="5">
        <f>D29+C30</f>
        <v/>
      </c>
      <c r="E30" s="5">
        <f>IF(A30=AdvFirstMonth,AdvFirst*ContractValue,0)+IF(A30=AdvSecondMonth,AdvSecond*ContractValue,0)</f>
        <v/>
      </c>
      <c r="F30" s="5">
        <f>F29+E30</f>
        <v/>
      </c>
      <c r="G30" s="5">
        <f>IF(A30=0,0,IF(OR(A30&gt;=Months,A30&gt;=MAX(1,FLOOR(RecDeadline*Months,1))),F30-H29,MIN(RecRate*B30,F30-H29)))</f>
        <v/>
      </c>
      <c r="H30" s="5">
        <f>H29+G30</f>
        <v/>
      </c>
      <c r="I30" s="5">
        <f>F30-H30</f>
        <v/>
      </c>
      <c r="J30" s="5">
        <f>B30-C30-G30</f>
        <v/>
      </c>
      <c r="K30" s="5">
        <f>IF(A30=Months+DelayDays/30+RelMonths,MAX($D$2:$D$40),0)</f>
        <v/>
      </c>
      <c r="L30" s="5">
        <f>IF(A30=Months+DelayDays/30,'Benchmark 8.4'!$D$9,0)</f>
        <v/>
      </c>
      <c r="M30" s="5">
        <f>IF(A30-PayLagDays/30&gt;=0,OFFSET(J30,-PayLagDays/30,0),0)+E30+K30-L30</f>
        <v/>
      </c>
      <c r="N30" s="5">
        <f>CostShare*B30</f>
        <v/>
      </c>
      <c r="O30" s="5">
        <f>O29+M30</f>
        <v/>
      </c>
      <c r="P30" s="5">
        <f>P29+N30</f>
        <v/>
      </c>
      <c r="Q30" s="5">
        <f>P30-O30</f>
        <v/>
      </c>
      <c r="R30" s="5">
        <f>D30-SUM($K$2:K30)</f>
        <v/>
      </c>
      <c r="S30" s="5">
        <f>IF(D30&gt;=RetCap*ContractValue-0.000001,A30,999)</f>
        <v/>
      </c>
      <c r="T30" s="5">
        <f>IF(AND(A30&gt;=1,H30&gt;=(AdvFirst+AdvSecond)*ContractValue-0.000001),A30,999)</f>
        <v/>
      </c>
    </row>
    <row r="31">
      <c r="A31" s="8" t="n">
        <v>29</v>
      </c>
      <c r="B31" s="5">
        <f>IF(AND(A31&gt;=1,A31&lt;=Months),ContractValue/Months,0)</f>
        <v/>
      </c>
      <c r="C31" s="5">
        <f>MAX(0,MIN(RetRate*B31,RetCap*ContractValue-D30))</f>
        <v/>
      </c>
      <c r="D31" s="5">
        <f>D30+C31</f>
        <v/>
      </c>
      <c r="E31" s="5">
        <f>IF(A31=AdvFirstMonth,AdvFirst*ContractValue,0)+IF(A31=AdvSecondMonth,AdvSecond*ContractValue,0)</f>
        <v/>
      </c>
      <c r="F31" s="5">
        <f>F30+E31</f>
        <v/>
      </c>
      <c r="G31" s="5">
        <f>IF(A31=0,0,IF(OR(A31&gt;=Months,A31&gt;=MAX(1,FLOOR(RecDeadline*Months,1))),F31-H30,MIN(RecRate*B31,F31-H30)))</f>
        <v/>
      </c>
      <c r="H31" s="5">
        <f>H30+G31</f>
        <v/>
      </c>
      <c r="I31" s="5">
        <f>F31-H31</f>
        <v/>
      </c>
      <c r="J31" s="5">
        <f>B31-C31-G31</f>
        <v/>
      </c>
      <c r="K31" s="5">
        <f>IF(A31=Months+DelayDays/30+RelMonths,MAX($D$2:$D$40),0)</f>
        <v/>
      </c>
      <c r="L31" s="5">
        <f>IF(A31=Months+DelayDays/30,'Benchmark 8.4'!$D$9,0)</f>
        <v/>
      </c>
      <c r="M31" s="5">
        <f>IF(A31-PayLagDays/30&gt;=0,OFFSET(J31,-PayLagDays/30,0),0)+E31+K31-L31</f>
        <v/>
      </c>
      <c r="N31" s="5">
        <f>CostShare*B31</f>
        <v/>
      </c>
      <c r="O31" s="5">
        <f>O30+M31</f>
        <v/>
      </c>
      <c r="P31" s="5">
        <f>P30+N31</f>
        <v/>
      </c>
      <c r="Q31" s="5">
        <f>P31-O31</f>
        <v/>
      </c>
      <c r="R31" s="5">
        <f>D31-SUM($K$2:K31)</f>
        <v/>
      </c>
      <c r="S31" s="5">
        <f>IF(D31&gt;=RetCap*ContractValue-0.000001,A31,999)</f>
        <v/>
      </c>
      <c r="T31" s="5">
        <f>IF(AND(A31&gt;=1,H31&gt;=(AdvFirst+AdvSecond)*ContractValue-0.000001),A31,999)</f>
        <v/>
      </c>
    </row>
    <row r="32">
      <c r="A32" s="8" t="n">
        <v>30</v>
      </c>
      <c r="B32" s="5">
        <f>IF(AND(A32&gt;=1,A32&lt;=Months),ContractValue/Months,0)</f>
        <v/>
      </c>
      <c r="C32" s="5">
        <f>MAX(0,MIN(RetRate*B32,RetCap*ContractValue-D31))</f>
        <v/>
      </c>
      <c r="D32" s="5">
        <f>D31+C32</f>
        <v/>
      </c>
      <c r="E32" s="5">
        <f>IF(A32=AdvFirstMonth,AdvFirst*ContractValue,0)+IF(A32=AdvSecondMonth,AdvSecond*ContractValue,0)</f>
        <v/>
      </c>
      <c r="F32" s="5">
        <f>F31+E32</f>
        <v/>
      </c>
      <c r="G32" s="5">
        <f>IF(A32=0,0,IF(OR(A32&gt;=Months,A32&gt;=MAX(1,FLOOR(RecDeadline*Months,1))),F32-H31,MIN(RecRate*B32,F32-H31)))</f>
        <v/>
      </c>
      <c r="H32" s="5">
        <f>H31+G32</f>
        <v/>
      </c>
      <c r="I32" s="5">
        <f>F32-H32</f>
        <v/>
      </c>
      <c r="J32" s="5">
        <f>B32-C32-G32</f>
        <v/>
      </c>
      <c r="K32" s="5">
        <f>IF(A32=Months+DelayDays/30+RelMonths,MAX($D$2:$D$40),0)</f>
        <v/>
      </c>
      <c r="L32" s="5">
        <f>IF(A32=Months+DelayDays/30,'Benchmark 8.4'!$D$9,0)</f>
        <v/>
      </c>
      <c r="M32" s="5">
        <f>IF(A32-PayLagDays/30&gt;=0,OFFSET(J32,-PayLagDays/30,0),0)+E32+K32-L32</f>
        <v/>
      </c>
      <c r="N32" s="5">
        <f>CostShare*B32</f>
        <v/>
      </c>
      <c r="O32" s="5">
        <f>O31+M32</f>
        <v/>
      </c>
      <c r="P32" s="5">
        <f>P31+N32</f>
        <v/>
      </c>
      <c r="Q32" s="5">
        <f>P32-O32</f>
        <v/>
      </c>
      <c r="R32" s="5">
        <f>D32-SUM($K$2:K32)</f>
        <v/>
      </c>
      <c r="S32" s="5">
        <f>IF(D32&gt;=RetCap*ContractValue-0.000001,A32,999)</f>
        <v/>
      </c>
      <c r="T32" s="5">
        <f>IF(AND(A32&gt;=1,H32&gt;=(AdvFirst+AdvSecond)*ContractValue-0.000001),A32,999)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Month</t>
        </is>
      </c>
      <c r="B1" s="4" t="inlineStr">
        <is>
          <t>Python cash in</t>
        </is>
      </c>
      <c r="C1" s="4" t="inlineStr">
        <is>
          <t>Python cash out</t>
        </is>
      </c>
      <c r="D1" s="4" t="inlineStr">
        <is>
          <t>Python gap</t>
        </is>
      </c>
      <c r="E1" s="4" t="inlineStr">
        <is>
          <t>Excel gap - Python gap</t>
        </is>
      </c>
    </row>
    <row r="2">
      <c r="A2" t="n">
        <v>0</v>
      </c>
      <c r="B2" t="n">
        <v>5</v>
      </c>
      <c r="C2" t="n">
        <v>0</v>
      </c>
      <c r="D2" t="n">
        <v>-5</v>
      </c>
      <c r="E2">
        <f>Monthly!Q2-D2</f>
        <v/>
      </c>
    </row>
    <row r="3">
      <c r="A3" t="n">
        <v>1</v>
      </c>
      <c r="B3" t="n">
        <v>0</v>
      </c>
      <c r="C3" t="n">
        <v>3.5416666667</v>
      </c>
      <c r="D3" t="n">
        <v>-1.4583333333</v>
      </c>
      <c r="E3">
        <f>Monthly!Q3-D3</f>
        <v/>
      </c>
    </row>
    <row r="4">
      <c r="A4" t="n">
        <v>2</v>
      </c>
      <c r="B4" t="n">
        <v>8.291666666699999</v>
      </c>
      <c r="C4" t="n">
        <v>3.5416666667</v>
      </c>
      <c r="D4" t="n">
        <v>-6.2083333333</v>
      </c>
      <c r="E4">
        <f>Monthly!Q4-D4</f>
        <v/>
      </c>
    </row>
    <row r="5">
      <c r="A5" t="n">
        <v>3</v>
      </c>
      <c r="B5" t="n">
        <v>3.2916666667</v>
      </c>
      <c r="C5" t="n">
        <v>3.5416666667</v>
      </c>
      <c r="D5" t="n">
        <v>-5.9583333333</v>
      </c>
      <c r="E5">
        <f>Monthly!Q5-D5</f>
        <v/>
      </c>
    </row>
    <row r="6">
      <c r="A6" t="n">
        <v>4</v>
      </c>
      <c r="B6" t="n">
        <v>3.2916666667</v>
      </c>
      <c r="C6" t="n">
        <v>3.5416666667</v>
      </c>
      <c r="D6" t="n">
        <v>-5.7083333333</v>
      </c>
      <c r="E6">
        <f>Monthly!Q6-D6</f>
        <v/>
      </c>
    </row>
    <row r="7">
      <c r="A7" t="n">
        <v>5</v>
      </c>
      <c r="B7" t="n">
        <v>3.2916666667</v>
      </c>
      <c r="C7" t="n">
        <v>3.5416666667</v>
      </c>
      <c r="D7" t="n">
        <v>-5.4583333333</v>
      </c>
      <c r="E7">
        <f>Monthly!Q7-D7</f>
        <v/>
      </c>
    </row>
    <row r="8">
      <c r="A8" t="n">
        <v>6</v>
      </c>
      <c r="B8" t="n">
        <v>3.2916666667</v>
      </c>
      <c r="C8" t="n">
        <v>3.5416666667</v>
      </c>
      <c r="D8" t="n">
        <v>-5.2083333333</v>
      </c>
      <c r="E8">
        <f>Monthly!Q8-D8</f>
        <v/>
      </c>
    </row>
    <row r="9">
      <c r="A9" t="n">
        <v>7</v>
      </c>
      <c r="B9" t="n">
        <v>3.2916666667</v>
      </c>
      <c r="C9" t="n">
        <v>3.5416666667</v>
      </c>
      <c r="D9" t="n">
        <v>-4.9583333333</v>
      </c>
      <c r="E9">
        <f>Monthly!Q9-D9</f>
        <v/>
      </c>
    </row>
    <row r="10">
      <c r="A10" t="n">
        <v>8</v>
      </c>
      <c r="B10" t="n">
        <v>3.2916666667</v>
      </c>
      <c r="C10" t="n">
        <v>3.5416666667</v>
      </c>
      <c r="D10" t="n">
        <v>-4.7083333333</v>
      </c>
      <c r="E10">
        <f>Monthly!Q10-D10</f>
        <v/>
      </c>
    </row>
    <row r="11">
      <c r="A11" t="n">
        <v>9</v>
      </c>
      <c r="B11" t="n">
        <v>3.2916666667</v>
      </c>
      <c r="C11" t="n">
        <v>3.5416666667</v>
      </c>
      <c r="D11" t="n">
        <v>-4.4583333333</v>
      </c>
      <c r="E11">
        <f>Monthly!Q11-D11</f>
        <v/>
      </c>
    </row>
    <row r="12">
      <c r="A12" t="n">
        <v>10</v>
      </c>
      <c r="B12" t="n">
        <v>3.2916666667</v>
      </c>
      <c r="C12" t="n">
        <v>3.5416666667</v>
      </c>
      <c r="D12" t="n">
        <v>-4.2083333333</v>
      </c>
      <c r="E12">
        <f>Monthly!Q12-D12</f>
        <v/>
      </c>
    </row>
    <row r="13">
      <c r="A13" t="n">
        <v>11</v>
      </c>
      <c r="B13" t="n">
        <v>3.2916666667</v>
      </c>
      <c r="C13" t="n">
        <v>3.5416666667</v>
      </c>
      <c r="D13" t="n">
        <v>-3.9583333333</v>
      </c>
      <c r="E13">
        <f>Monthly!Q13-D13</f>
        <v/>
      </c>
    </row>
    <row r="14">
      <c r="A14" t="n">
        <v>12</v>
      </c>
      <c r="B14" t="n">
        <v>3.2916666667</v>
      </c>
      <c r="C14" t="n">
        <v>3.5416666667</v>
      </c>
      <c r="D14" t="n">
        <v>-3.7083333333</v>
      </c>
      <c r="E14">
        <f>Monthly!Q14-D14</f>
        <v/>
      </c>
    </row>
    <row r="15">
      <c r="A15" t="n">
        <v>13</v>
      </c>
      <c r="B15" t="n">
        <v>3.2916666667</v>
      </c>
      <c r="C15" t="n">
        <v>3.5416666667</v>
      </c>
      <c r="D15" t="n">
        <v>-3.4583333333</v>
      </c>
      <c r="E15">
        <f>Monthly!Q15-D15</f>
        <v/>
      </c>
    </row>
    <row r="16">
      <c r="A16" t="n">
        <v>14</v>
      </c>
      <c r="B16" t="n">
        <v>3.2916666667</v>
      </c>
      <c r="C16" t="n">
        <v>3.5416666667</v>
      </c>
      <c r="D16" t="n">
        <v>-3.2083333333</v>
      </c>
      <c r="E16">
        <f>Monthly!Q16-D16</f>
        <v/>
      </c>
    </row>
    <row r="17">
      <c r="A17" t="n">
        <v>15</v>
      </c>
      <c r="B17" t="n">
        <v>3.2916666667</v>
      </c>
      <c r="C17" t="n">
        <v>3.5416666667</v>
      </c>
      <c r="D17" t="n">
        <v>-2.9583333333</v>
      </c>
      <c r="E17">
        <f>Monthly!Q17-D17</f>
        <v/>
      </c>
    </row>
    <row r="18">
      <c r="A18" t="n">
        <v>16</v>
      </c>
      <c r="B18" t="n">
        <v>3.2916666667</v>
      </c>
      <c r="C18" t="n">
        <v>3.5416666667</v>
      </c>
      <c r="D18" t="n">
        <v>-2.7083333333</v>
      </c>
      <c r="E18">
        <f>Monthly!Q18-D18</f>
        <v/>
      </c>
    </row>
    <row r="19">
      <c r="A19" t="n">
        <v>17</v>
      </c>
      <c r="B19" t="n">
        <v>3.2916666667</v>
      </c>
      <c r="C19" t="n">
        <v>3.5416666667</v>
      </c>
      <c r="D19" t="n">
        <v>-2.4583333333</v>
      </c>
      <c r="E19">
        <f>Monthly!Q19-D19</f>
        <v/>
      </c>
    </row>
    <row r="20">
      <c r="A20" t="n">
        <v>18</v>
      </c>
      <c r="B20" t="n">
        <v>3.9166666667</v>
      </c>
      <c r="C20" t="n">
        <v>3.5416666667</v>
      </c>
      <c r="D20" t="n">
        <v>-2.8333333333</v>
      </c>
      <c r="E20">
        <f>Monthly!Q20-D20</f>
        <v/>
      </c>
    </row>
    <row r="21">
      <c r="A21" t="n">
        <v>19</v>
      </c>
      <c r="B21" t="n">
        <v>3.9166666667</v>
      </c>
      <c r="C21" t="n">
        <v>3.5416666667</v>
      </c>
      <c r="D21" t="n">
        <v>-3.2083333333</v>
      </c>
      <c r="E21">
        <f>Monthly!Q21-D21</f>
        <v/>
      </c>
    </row>
    <row r="22">
      <c r="A22" t="n">
        <v>20</v>
      </c>
      <c r="B22" t="n">
        <v>3.9166666667</v>
      </c>
      <c r="C22" t="n">
        <v>3.5416666667</v>
      </c>
      <c r="D22" t="n">
        <v>-3.5833333333</v>
      </c>
      <c r="E22">
        <f>Monthly!Q22-D22</f>
        <v/>
      </c>
    </row>
    <row r="23">
      <c r="A23" t="n">
        <v>21</v>
      </c>
      <c r="B23" t="n">
        <v>3.9166666667</v>
      </c>
      <c r="C23" t="n">
        <v>3.5416666667</v>
      </c>
      <c r="D23" t="n">
        <v>-3.9583333333</v>
      </c>
      <c r="E23">
        <f>Monthly!Q23-D23</f>
        <v/>
      </c>
    </row>
    <row r="24">
      <c r="A24" t="n">
        <v>22</v>
      </c>
      <c r="B24" t="n">
        <v>4.1666666667</v>
      </c>
      <c r="C24" t="n">
        <v>3.5416666667</v>
      </c>
      <c r="D24" t="n">
        <v>-4.5833333333</v>
      </c>
      <c r="E24">
        <f>Monthly!Q24-D24</f>
        <v/>
      </c>
    </row>
    <row r="25">
      <c r="A25" t="n">
        <v>23</v>
      </c>
      <c r="B25" t="n">
        <v>4.1666666667</v>
      </c>
      <c r="C25" t="n">
        <v>3.5416666667</v>
      </c>
      <c r="D25" t="n">
        <v>-5.2083333333</v>
      </c>
      <c r="E25">
        <f>Monthly!Q25-D25</f>
        <v/>
      </c>
    </row>
    <row r="26">
      <c r="A26" t="n">
        <v>24</v>
      </c>
      <c r="B26" t="n">
        <v>4.1666666667</v>
      </c>
      <c r="C26" t="n">
        <v>3.5416666667</v>
      </c>
      <c r="D26" t="n">
        <v>-5.8333333333</v>
      </c>
      <c r="E26">
        <f>Monthly!Q26-D26</f>
        <v/>
      </c>
    </row>
    <row r="27">
      <c r="A27" t="n">
        <v>25</v>
      </c>
      <c r="B27" t="n">
        <v>4.1666666667</v>
      </c>
      <c r="C27" t="n">
        <v>0</v>
      </c>
      <c r="D27" t="n">
        <v>-10</v>
      </c>
      <c r="E27">
        <f>Monthly!Q27-D27</f>
        <v/>
      </c>
    </row>
    <row r="28">
      <c r="A28" t="n">
        <v>26</v>
      </c>
      <c r="B28" t="n">
        <v>-3</v>
      </c>
      <c r="C28" t="n">
        <v>0</v>
      </c>
      <c r="D28" t="n">
        <v>-7</v>
      </c>
      <c r="E28">
        <f>Monthly!Q28-D28</f>
        <v/>
      </c>
    </row>
    <row r="29">
      <c r="A29" t="n">
        <v>27</v>
      </c>
      <c r="B29" t="n">
        <v>5</v>
      </c>
      <c r="C29" t="n">
        <v>0</v>
      </c>
      <c r="D29" t="n">
        <v>-12</v>
      </c>
      <c r="E29">
        <f>Monthly!Q29-D29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2026-10-23T13:53:04Z</dcterms:created>
  <dcterms:modified xmlns:dcterms="http://purl.org/dc/terms/" xmlns:xsi="http://www.w3.org/2001/XMLSchema-instance" xsi:type="dcterms:W3CDTF">2026-10-23T13:53:04Z</dcterms:modified>
</cp:coreProperties>
</file>